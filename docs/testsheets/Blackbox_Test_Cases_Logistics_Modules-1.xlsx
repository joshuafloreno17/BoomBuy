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ssumptions" sheetId="2" state="visible" r:id="rId2"/>
    <sheet xmlns:r="http://schemas.openxmlformats.org/officeDocument/2006/relationships" name="Test Data" sheetId="3" state="visible" r:id="rId3"/>
    <sheet xmlns:r="http://schemas.openxmlformats.org/officeDocument/2006/relationships" name="L1 Dashboard" sheetId="4" state="visible" r:id="rId4"/>
    <sheet xmlns:r="http://schemas.openxmlformats.org/officeDocument/2006/relationships" name="L2 Rider Mgmt" sheetId="5" state="visible" r:id="rId5"/>
    <sheet xmlns:r="http://schemas.openxmlformats.org/officeDocument/2006/relationships" name="L3 Dispatch" sheetId="6" state="visible" r:id="rId6"/>
    <sheet xmlns:r="http://schemas.openxmlformats.org/officeDocument/2006/relationships" name="L4 Hub Ops" sheetId="7" state="visible" r:id="rId7"/>
    <sheet xmlns:r="http://schemas.openxmlformats.org/officeDocument/2006/relationships" name="L5 Tracking &amp; Exceptions" sheetId="8" state="visible" r:id="rId8"/>
    <sheet xmlns:r="http://schemas.openxmlformats.org/officeDocument/2006/relationships" name="L6 Returns (RTS)" sheetId="9" state="visible" r:id="rId9"/>
    <sheet xmlns:r="http://schemas.openxmlformats.org/officeDocument/2006/relationships" name="L7 Zones &amp; Rates" sheetId="10" state="visible" r:id="rId10"/>
    <sheet xmlns:r="http://schemas.openxmlformats.org/officeDocument/2006/relationships" name="L8 COD &amp; Reports" sheetId="11" state="visible" r:id="rId11"/>
  </sheets>
  <definedNames>
    <definedName name="_xlnm._FilterDatabase" localSheetId="3" hidden="1">'L1 Dashboard'!$A$1:$M$5</definedName>
    <definedName name="_xlnm._FilterDatabase" localSheetId="4" hidden="1">'L2 Rider Mgmt'!$A$1:$M$8</definedName>
    <definedName name="_xlnm._FilterDatabase" localSheetId="5" hidden="1">'L3 Dispatch'!$A$1:$M$9</definedName>
    <definedName name="_xlnm._FilterDatabase" localSheetId="6" hidden="1">'L4 Hub Ops'!$A$1:$M$8</definedName>
    <definedName name="_xlnm._FilterDatabase" localSheetId="7" hidden="1">'L5 Tracking &amp; Exceptions'!$A$1:$M$6</definedName>
    <definedName name="_xlnm._FilterDatabase" localSheetId="8" hidden="1">'L6 Returns (RTS)'!$A$1:$M$5</definedName>
    <definedName name="_xlnm._FilterDatabase" localSheetId="9" hidden="1">'L7 Zones &amp; Rates'!$A$1:$M$5</definedName>
    <definedName name="_xlnm._FilterDatabase" localSheetId="10" hidden="1">'L8 COD &amp; Reports'!$A$1:$M$6</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1F3864"/>
      <sz val="14"/>
    </font>
    <font>
      <name val="Arial"/>
      <sz val="10"/>
    </font>
    <font>
      <name val="Arial"/>
      <b val="1"/>
      <color rgb="001F3864"/>
      <sz val="11"/>
    </font>
    <font>
      <name val="Arial"/>
      <b val="1"/>
      <sz val="10"/>
    </font>
    <font>
      <name val="Arial"/>
      <b val="1"/>
      <color rgb="00FFFFFF"/>
      <sz val="10"/>
    </font>
  </fonts>
  <fills count="5">
    <fill>
      <patternFill/>
    </fill>
    <fill>
      <patternFill patternType="gray125"/>
    </fill>
    <fill>
      <patternFill patternType="solid">
        <fgColor rgb="00F2F2F2"/>
      </patternFill>
    </fill>
    <fill>
      <patternFill patternType="solid">
        <fgColor rgb="00FFF2CC"/>
      </patternFill>
    </fill>
    <fill>
      <patternFill patternType="solid">
        <fgColor rgb="001F386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2" fillId="3" borderId="1" applyAlignment="1" pivotButton="0" quotePrefix="0" xfId="0">
      <alignment vertical="top" wrapText="1"/>
    </xf>
    <xf numFmtId="0" fontId="5" fillId="4"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164" fontId="4" fillId="2" borderId="1" applyAlignment="1" pivotButton="0" quotePrefix="0" xfId="0">
      <alignment vertical="top" wrapText="1"/>
    </xf>
    <xf numFmtId="0" fontId="2" fillId="0" borderId="0"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dxfs count="3">
    <dxf>
      <font>
        <color rgb="00006100"/>
      </font>
      <fill>
        <patternFill patternType="solid">
          <bgColor rgb="00C6EFCE"/>
        </patternFill>
      </fill>
    </dxf>
    <dxf>
      <font>
        <color rgb="009C0006"/>
      </font>
      <fill>
        <patternFill patternType="solid">
          <bgColor rgb="00FFC7CE"/>
        </patternFill>
      </fill>
    </dxf>
    <dxf>
      <font>
        <color rgb="009C5700"/>
      </font>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36" customWidth="1" min="1" max="1"/>
    <col width="34" customWidth="1" min="2" max="2"/>
    <col width="10" customWidth="1" min="3" max="3"/>
    <col width="10" customWidth="1" min="4" max="4"/>
    <col width="10" customWidth="1" min="5" max="5"/>
    <col width="10" customWidth="1" min="6" max="6"/>
    <col width="22" customWidth="1" min="7" max="7"/>
  </cols>
  <sheetData>
    <row r="1">
      <c r="A1" s="1" t="inlineStr">
        <is>
          <t>Black-Box Test Cases: Logistics Modules (L1–L8)</t>
        </is>
      </c>
    </row>
    <row r="2">
      <c r="A2" s="2" t="inlineStr">
        <is>
          <t>Multi-role e-commerce and logistics platform (Buyer, Seller, Logistics, Rider)</t>
        </is>
      </c>
    </row>
    <row r="4">
      <c r="A4" s="3" t="inlineStr">
        <is>
          <t>Test run details</t>
        </is>
      </c>
    </row>
    <row r="5">
      <c r="A5" s="4" t="inlineStr">
        <is>
          <t>System under test</t>
        </is>
      </c>
      <c r="B5" s="5" t="inlineStr">
        <is>
          <t xml:space="preserve">BoomBuy (boombuy.store)</t>
        </is>
      </c>
    </row>
    <row r="6">
      <c r="A6" s="4" t="inlineStr">
        <is>
          <t>Version / build</t>
        </is>
      </c>
      <c r="B6" s="5" t="inlineStr">
        <is>
          <t xml:space="preserve">Branch mobile-app, build a5a130d</t>
        </is>
      </c>
    </row>
    <row r="7">
      <c r="A7" s="4" t="inlineStr">
        <is>
          <t>Test environment (browser, device)</t>
        </is>
      </c>
      <c r="B7" s="5" t="inlineStr">
        <is>
          <t xml:space="preserve">Automated PHPUnit feature tests (Laravel, PHP 8.5) on Windows 11; Chrome-based browser for the pages</t>
        </is>
      </c>
    </row>
    <row r="8">
      <c r="A8" s="4" t="inlineStr">
        <is>
          <t>Tester</t>
        </is>
      </c>
      <c r="B8" s="5" t="n"/>
    </row>
    <row r="9">
      <c r="A9" s="4" t="inlineStr">
        <is>
          <t>Date tested</t>
        </is>
      </c>
      <c r="B9" s="5" t="inlineStr">
        <is>
          <t xml:space="preserve">2026-10-19</t>
        </is>
      </c>
    </row>
    <row r="11">
      <c r="A11" s="3" t="inlineStr">
        <is>
          <t>Results by module</t>
        </is>
      </c>
    </row>
    <row r="12">
      <c r="A12" s="6" t="inlineStr">
        <is>
          <t>Module (sheet)</t>
        </is>
      </c>
      <c r="B12" s="6" t="inlineStr">
        <is>
          <t>Total test cases</t>
        </is>
      </c>
      <c r="C12" s="6" t="inlineStr">
        <is>
          <t>Pass</t>
        </is>
      </c>
      <c r="D12" s="6" t="inlineStr">
        <is>
          <t>Fail</t>
        </is>
      </c>
      <c r="E12" s="6" t="inlineStr">
        <is>
          <t>Blocked</t>
        </is>
      </c>
      <c r="F12" s="6" t="inlineStr">
        <is>
          <t>Not Run</t>
        </is>
      </c>
      <c r="G12" s="6" t="inlineStr">
        <is>
          <t>Pass rate (Pass / Total)</t>
        </is>
      </c>
    </row>
    <row r="13">
      <c r="A13" s="7" t="inlineStr">
        <is>
          <t>L1 Dashboard</t>
        </is>
      </c>
      <c r="B13" s="8">
        <f>COUNTA('L1 Dashboard'!$A$2:$A$200)</f>
        <v/>
      </c>
      <c r="C13" s="8">
        <f>COUNTIF('L1 Dashboard'!$L$2:$L$200,"Pass")</f>
        <v/>
      </c>
      <c r="D13" s="8">
        <f>COUNTIF('L1 Dashboard'!$L$2:$L$200,"Fail")</f>
        <v/>
      </c>
      <c r="E13" s="8">
        <f>COUNTIF('L1 Dashboard'!$L$2:$L$200,"Blocked")</f>
        <v/>
      </c>
      <c r="F13" s="8">
        <f>COUNTIF('L1 Dashboard'!$L$2:$L$200,"Not Run")</f>
        <v/>
      </c>
      <c r="G13" s="9">
        <f>IF(B13=0,0,C13/B13)</f>
        <v/>
      </c>
    </row>
    <row r="14">
      <c r="A14" s="7" t="inlineStr">
        <is>
          <t>L2 Rider Mgmt</t>
        </is>
      </c>
      <c r="B14" s="8">
        <f>COUNTA('L2 Rider Mgmt'!$A$2:$A$200)</f>
        <v/>
      </c>
      <c r="C14" s="8">
        <f>COUNTIF('L2 Rider Mgmt'!$L$2:$L$200,"Pass")</f>
        <v/>
      </c>
      <c r="D14" s="8">
        <f>COUNTIF('L2 Rider Mgmt'!$L$2:$L$200,"Fail")</f>
        <v/>
      </c>
      <c r="E14" s="8">
        <f>COUNTIF('L2 Rider Mgmt'!$L$2:$L$200,"Blocked")</f>
        <v/>
      </c>
      <c r="F14" s="8">
        <f>COUNTIF('L2 Rider Mgmt'!$L$2:$L$200,"Not Run")</f>
        <v/>
      </c>
      <c r="G14" s="9">
        <f>IF(B14=0,0,C14/B14)</f>
        <v/>
      </c>
    </row>
    <row r="15">
      <c r="A15" s="7" t="inlineStr">
        <is>
          <t>L3 Dispatch</t>
        </is>
      </c>
      <c r="B15" s="8">
        <f>COUNTA('L3 Dispatch'!$A$2:$A$200)</f>
        <v/>
      </c>
      <c r="C15" s="8">
        <f>COUNTIF('L3 Dispatch'!$L$2:$L$200,"Pass")</f>
        <v/>
      </c>
      <c r="D15" s="8">
        <f>COUNTIF('L3 Dispatch'!$L$2:$L$200,"Fail")</f>
        <v/>
      </c>
      <c r="E15" s="8">
        <f>COUNTIF('L3 Dispatch'!$L$2:$L$200,"Blocked")</f>
        <v/>
      </c>
      <c r="F15" s="8">
        <f>COUNTIF('L3 Dispatch'!$L$2:$L$200,"Not Run")</f>
        <v/>
      </c>
      <c r="G15" s="9">
        <f>IF(B15=0,0,C15/B15)</f>
        <v/>
      </c>
    </row>
    <row r="16">
      <c r="A16" s="7" t="inlineStr">
        <is>
          <t>L4 Hub Ops</t>
        </is>
      </c>
      <c r="B16" s="8">
        <f>COUNTA('L4 Hub Ops'!$A$2:$A$200)</f>
        <v/>
      </c>
      <c r="C16" s="8">
        <f>COUNTIF('L4 Hub Ops'!$L$2:$L$200,"Pass")</f>
        <v/>
      </c>
      <c r="D16" s="8">
        <f>COUNTIF('L4 Hub Ops'!$L$2:$L$200,"Fail")</f>
        <v/>
      </c>
      <c r="E16" s="8">
        <f>COUNTIF('L4 Hub Ops'!$L$2:$L$200,"Blocked")</f>
        <v/>
      </c>
      <c r="F16" s="8">
        <f>COUNTIF('L4 Hub Ops'!$L$2:$L$200,"Not Run")</f>
        <v/>
      </c>
      <c r="G16" s="9">
        <f>IF(B16=0,0,C16/B16)</f>
        <v/>
      </c>
    </row>
    <row r="17">
      <c r="A17" s="7" t="inlineStr">
        <is>
          <t>L5 Tracking &amp; Exceptions</t>
        </is>
      </c>
      <c r="B17" s="8">
        <f>COUNTA('L5 Tracking &amp; Exceptions'!$A$2:$A$200)</f>
        <v/>
      </c>
      <c r="C17" s="8">
        <f>COUNTIF('L5 Tracking &amp; Exceptions'!$L$2:$L$200,"Pass")</f>
        <v/>
      </c>
      <c r="D17" s="8">
        <f>COUNTIF('L5 Tracking &amp; Exceptions'!$L$2:$L$200,"Fail")</f>
        <v/>
      </c>
      <c r="E17" s="8">
        <f>COUNTIF('L5 Tracking &amp; Exceptions'!$L$2:$L$200,"Blocked")</f>
        <v/>
      </c>
      <c r="F17" s="8">
        <f>COUNTIF('L5 Tracking &amp; Exceptions'!$L$2:$L$200,"Not Run")</f>
        <v/>
      </c>
      <c r="G17" s="9">
        <f>IF(B17=0,0,C17/B17)</f>
        <v/>
      </c>
    </row>
    <row r="18">
      <c r="A18" s="7" t="inlineStr">
        <is>
          <t>L6 Returns (RTS)</t>
        </is>
      </c>
      <c r="B18" s="8">
        <f>COUNTA('L6 Returns (RTS)'!$A$2:$A$200)</f>
        <v/>
      </c>
      <c r="C18" s="8">
        <f>COUNTIF('L6 Returns (RTS)'!$L$2:$L$200,"Pass")</f>
        <v/>
      </c>
      <c r="D18" s="8">
        <f>COUNTIF('L6 Returns (RTS)'!$L$2:$L$200,"Fail")</f>
        <v/>
      </c>
      <c r="E18" s="8">
        <f>COUNTIF('L6 Returns (RTS)'!$L$2:$L$200,"Blocked")</f>
        <v/>
      </c>
      <c r="F18" s="8">
        <f>COUNTIF('L6 Returns (RTS)'!$L$2:$L$200,"Not Run")</f>
        <v/>
      </c>
      <c r="G18" s="9">
        <f>IF(B18=0,0,C18/B18)</f>
        <v/>
      </c>
    </row>
    <row r="19">
      <c r="A19" s="7" t="inlineStr">
        <is>
          <t>L7 Zones &amp; Rates</t>
        </is>
      </c>
      <c r="B19" s="8">
        <f>COUNTA('L7 Zones &amp; Rates'!$A$2:$A$200)</f>
        <v/>
      </c>
      <c r="C19" s="8">
        <f>COUNTIF('L7 Zones &amp; Rates'!$L$2:$L$200,"Pass")</f>
        <v/>
      </c>
      <c r="D19" s="8">
        <f>COUNTIF('L7 Zones &amp; Rates'!$L$2:$L$200,"Fail")</f>
        <v/>
      </c>
      <c r="E19" s="8">
        <f>COUNTIF('L7 Zones &amp; Rates'!$L$2:$L$200,"Blocked")</f>
        <v/>
      </c>
      <c r="F19" s="8">
        <f>COUNTIF('L7 Zones &amp; Rates'!$L$2:$L$200,"Not Run")</f>
        <v/>
      </c>
      <c r="G19" s="9">
        <f>IF(B19=0,0,C19/B19)</f>
        <v/>
      </c>
    </row>
    <row r="20">
      <c r="A20" s="7" t="inlineStr">
        <is>
          <t>L8 COD &amp; Reports</t>
        </is>
      </c>
      <c r="B20" s="8">
        <f>COUNTA('L8 COD &amp; Reports'!$A$2:$A$200)</f>
        <v/>
      </c>
      <c r="C20" s="8">
        <f>COUNTIF('L8 COD &amp; Reports'!$L$2:$L$200,"Pass")</f>
        <v/>
      </c>
      <c r="D20" s="8">
        <f>COUNTIF('L8 COD &amp; Reports'!$L$2:$L$200,"Fail")</f>
        <v/>
      </c>
      <c r="E20" s="8">
        <f>COUNTIF('L8 COD &amp; Reports'!$L$2:$L$200,"Blocked")</f>
        <v/>
      </c>
      <c r="F20" s="8">
        <f>COUNTIF('L8 COD &amp; Reports'!$L$2:$L$200,"Not Run")</f>
        <v/>
      </c>
      <c r="G20" s="9">
        <f>IF(B20=0,0,C20/B20)</f>
        <v/>
      </c>
    </row>
    <row r="21">
      <c r="A21" s="4" t="inlineStr">
        <is>
          <t>Total</t>
        </is>
      </c>
      <c r="B21" s="4">
        <f>SUM(B13:B20)</f>
        <v/>
      </c>
      <c r="C21" s="4">
        <f>SUM(C13:C20)</f>
        <v/>
      </c>
      <c r="D21" s="4">
        <f>SUM(D13:D20)</f>
        <v/>
      </c>
      <c r="E21" s="4">
        <f>SUM(E13:E20)</f>
        <v/>
      </c>
      <c r="F21" s="4">
        <f>SUM(F13:F20)</f>
        <v/>
      </c>
      <c r="G21" s="10">
        <f>IF(B21=0,0,C21/B21)</f>
        <v/>
      </c>
    </row>
    <row r="23">
      <c r="A23" s="3" t="inlineStr">
        <is>
          <t>How to use this workbook</t>
        </is>
      </c>
    </row>
    <row r="24" ht="16.75" customHeight="1">
      <c r="A24" s="11" t="inlineStr">
        <is>
          <t>1. Logistics cases need parcels from the Seller and Buyer test sets and riders from the Account Creation set.</t>
        </is>
      </c>
    </row>
    <row r="25" ht="29.5" customHeight="1">
      <c r="A25" s="11" t="inlineStr">
        <is>
          <t>2. Strict pass rule: a case passes only if EVERY point in its Expected Result is true. If any point is false, or something happens that the Expected Result does not mention (an extra record, a stock change, a wrong notification, a console error, a 500 page), mark it Fail.</t>
        </is>
      </c>
    </row>
    <row r="26" ht="29.5" customHeight="1">
      <c r="A26" s="11" t="inlineStr">
        <is>
          <t>3. Check side effects, not just the screen: after each case, confirm the stock, order status, voucher usage, balances and the other roles' views named in the Expected Result. 'Nothing is saved' means the record is missing after a page refresh.</t>
        </is>
      </c>
    </row>
    <row r="27" ht="29.5" customHeight="1">
      <c r="A27" s="11" t="inlineStr">
        <is>
          <t>4. Error messages must appear next to the field (or at the top of the form) and say what is wrong and how to fix it. A generic 'Something went wrong', a blank page, or a 500 error is a Fail even when the action was correctly blocked.</t>
        </is>
      </c>
    </row>
    <row r="28" ht="29.5" customHeight="1">
      <c r="A28" s="11" t="inlineStr">
        <is>
          <t>5. For 'Error Guessing' security cases, a correct block shows a 403 page, a 'not found' page or a redirect, and shows NO data from the other user's record anywhere on the page.</t>
        </is>
      </c>
    </row>
    <row r="29" ht="29.5" customHeight="1">
      <c r="A29" s="11" t="inlineStr">
        <is>
          <t>6. Read the Assumptions sheet first. Rules A2 to A8 are the seven rules the module plan says must be agreed before testing; adjust any case whose rule differs from your system.</t>
        </is>
      </c>
    </row>
    <row r="30" ht="29.5" customHeight="1">
      <c r="A30" s="11" t="inlineStr">
        <is>
          <t>7. Seed the accounts, products, vouchers and shipping rates on the Test Data sheet before running the cases. Emails use example.com; read them from a mail catcher such as Mailtrap.</t>
        </is>
      </c>
    </row>
    <row r="31" ht="16.75" customHeight="1">
      <c r="A31" s="11" t="inlineStr">
        <is>
          <t>8. Test Case IDs follow &lt;ROLE&gt;-&lt;MODULE&gt;-&lt;NNN&gt;. Each module has positive, negative and boundary cases.</t>
        </is>
      </c>
    </row>
    <row r="32" ht="16.75" customHeight="1">
      <c r="A32" s="11" t="inlineStr">
        <is>
          <t>9. Fill in only the yellow cells: Actual Result, Status and Remarks. Pick the Status from the dropdown (Pass, Fail, Blocked, Not Run).</t>
        </is>
      </c>
    </row>
    <row r="33" ht="29.5" customHeight="1">
      <c r="A33" s="11" t="inlineStr">
        <is>
          <t>10. Pass = actual matches expected. Fail = it does not (describe what happened and add a screenshot or bug number in Remarks). Blocked = the case could not be run, for example because an earlier case failed.</t>
        </is>
      </c>
    </row>
    <row r="34" ht="16.75" customHeight="1">
      <c r="A34" s="11" t="inlineStr">
        <is>
          <t>11. The Results by module table above updates automatically from the Status column.</t>
        </is>
      </c>
    </row>
    <row r="36">
      <c r="A36" s="3" t="inlineStr">
        <is>
          <t>Black-box techniques used</t>
        </is>
      </c>
    </row>
    <row r="37">
      <c r="A37" s="4" t="inlineStr">
        <is>
          <t>Equivalence Partitioning</t>
        </is>
      </c>
      <c r="B37" s="8" t="inlineStr">
        <is>
          <t>Inputs are grouped into valid and invalid classes, and one value from each class is tested.</t>
        </is>
      </c>
      <c r="C37" s="12" t="n"/>
      <c r="D37" s="12" t="n"/>
      <c r="E37" s="12" t="n"/>
      <c r="F37" s="12" t="n"/>
      <c r="G37" s="13" t="n"/>
    </row>
    <row r="38">
      <c r="A38" s="4" t="inlineStr">
        <is>
          <t>Boundary Value Analysis</t>
        </is>
      </c>
      <c r="B38" s="8" t="inlineStr">
        <is>
          <t>Values at and just beyond a limit are tested, for example ₱0.99, ₱1.00 and ₱1.01 for a ₱1.00 minimum price.</t>
        </is>
      </c>
      <c r="C38" s="12" t="n"/>
      <c r="D38" s="12" t="n"/>
      <c r="E38" s="12" t="n"/>
      <c r="F38" s="12" t="n"/>
      <c r="G38" s="13" t="n"/>
    </row>
    <row r="39">
      <c r="A39" s="4" t="inlineStr">
        <is>
          <t>Decision Table</t>
        </is>
      </c>
      <c r="B39" s="8" t="inlineStr">
        <is>
          <t>Combinations of conditions are tested, for example which vouchers can stack.</t>
        </is>
      </c>
      <c r="C39" s="12" t="n"/>
      <c r="D39" s="12" t="n"/>
      <c r="E39" s="12" t="n"/>
      <c r="F39" s="12" t="n"/>
      <c r="G39" s="13" t="n"/>
    </row>
    <row r="40">
      <c r="A40" s="4" t="inlineStr">
        <is>
          <t>State Transition</t>
        </is>
      </c>
      <c r="B40" s="8" t="inlineStr">
        <is>
          <t>Changes in order or shipment status are tested, including transitions that must be blocked.</t>
        </is>
      </c>
      <c r="C40" s="12" t="n"/>
      <c r="D40" s="12" t="n"/>
      <c r="E40" s="12" t="n"/>
      <c r="F40" s="12" t="n"/>
      <c r="G40" s="13" t="n"/>
    </row>
    <row r="41">
      <c r="A41" s="4" t="inlineStr">
        <is>
          <t>Use Case Testing</t>
        </is>
      </c>
      <c r="B41" s="8" t="inlineStr">
        <is>
          <t>A complete user flow is tested from start to finish with valid data.</t>
        </is>
      </c>
      <c r="C41" s="12" t="n"/>
      <c r="D41" s="12" t="n"/>
      <c r="E41" s="12" t="n"/>
      <c r="F41" s="12" t="n"/>
      <c r="G41" s="13" t="n"/>
    </row>
    <row r="42">
      <c r="A42" s="4" t="inlineStr">
        <is>
          <t>Error Guessing</t>
        </is>
      </c>
      <c r="B42" s="8" t="inlineStr">
        <is>
          <t>Likely mistakes are tested based on experience, for example double-clicking Place Order or editing an ID in the URL.</t>
        </is>
      </c>
      <c r="C42" s="12" t="n"/>
      <c r="D42" s="12" t="n"/>
      <c r="E42" s="12" t="n"/>
      <c r="F42" s="12" t="n"/>
      <c r="G42" s="13" t="n"/>
    </row>
  </sheetData>
  <mergeCells count="17">
    <mergeCell ref="A32:G32"/>
    <mergeCell ref="B38:G38"/>
    <mergeCell ref="B42:G42"/>
    <mergeCell ref="A27:G27"/>
    <mergeCell ref="A31:G31"/>
    <mergeCell ref="B37:G37"/>
    <mergeCell ref="A34:G34"/>
    <mergeCell ref="B41:G41"/>
    <mergeCell ref="A26:G26"/>
    <mergeCell ref="A24:G24"/>
    <mergeCell ref="A30:G30"/>
    <mergeCell ref="B40:G40"/>
    <mergeCell ref="A29:G29"/>
    <mergeCell ref="A25:G25"/>
    <mergeCell ref="A33:G33"/>
    <mergeCell ref="B39:G39"/>
    <mergeCell ref="A28:G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pane ySplit="4" topLeftCell="A5" activePane="bottomLeft" state="frozen"/>
      <selection pane="bottomLeft" activeCell="A1" sqref="A1"/>
    </sheetView>
  </sheetViews>
  <sheetFormatPr baseColWidth="8" defaultRowHeight="15"/>
  <cols>
    <col width="8" customWidth="1" min="1" max="1"/>
    <col width="28" customWidth="1" min="2" max="2"/>
    <col width="95" customWidth="1" min="3" max="3"/>
    <col width="38" customWidth="1" min="4" max="4"/>
  </cols>
  <sheetData>
    <row r="1">
      <c r="A1" s="1" t="inlineStr">
        <is>
          <t>Assumptions used in the test cases</t>
        </is>
      </c>
    </row>
    <row r="2" ht="42" customHeight="1">
      <c r="A2" s="11" t="inlineStr">
        <is>
          <t>These rules are assumptions modeled on Philippine marketplaces, not taken from your actual system. Rules A2 to A8 are the seven rules the module plan says must be agreed before testing; A25 to A37 fix the limits the strict expected results depend on. Write your real rule in column D where it differs, then filter the Assumption Ref column on each module sheet to find the test cases to adjust.</t>
        </is>
      </c>
    </row>
    <row r="4">
      <c r="A4" s="6" t="inlineStr">
        <is>
          <t>Ref</t>
        </is>
      </c>
      <c r="B4" s="6" t="inlineStr">
        <is>
          <t>Topic</t>
        </is>
      </c>
      <c r="C4" s="6" t="inlineStr">
        <is>
          <t>Assumed rule</t>
        </is>
      </c>
      <c r="D4" s="6" t="inlineStr">
        <is>
          <t>Your system's actual rule (fill in if different)</t>
        </is>
      </c>
    </row>
    <row r="5" ht="55" customHeight="1">
      <c r="A5" s="7" t="inlineStr">
        <is>
          <t>A1</t>
        </is>
      </c>
      <c r="B5" s="7" t="inlineStr">
        <is>
          <t>Test accounts</t>
        </is>
      </c>
      <c r="C5" s="8" t="inlineStr">
        <is>
          <t>The accounts on the Test Data sheet already exist and are Active or Approved (they are the accounts created in the Account Creation test set). Seller 3 is Pending Approval and Rider 3 is Suspended, for the negative cases. Reset the seeded products, stock and vouchers to their Test Data values before each module.</t>
        </is>
      </c>
      <c r="D5" s="5" t="inlineStr">
        <is>
          <t xml:space="preserve">Same accounts, seeded by the automated tests (ModuleSheetWorld): Logistics 1 (Bilis Hatid Express Inc.) runs the Quezon City Sorting Center with Riders 1-3 (Rider 3 Suspended); Logistics 2 (Agila Cargo Movers Corp.) runs Davao.</t>
        </is>
      </c>
    </row>
    <row r="6" ht="29.5" customHeight="1">
      <c r="A6" s="7" t="inlineStr">
        <is>
          <t>A2</t>
        </is>
      </c>
      <c r="B6" s="7" t="inlineStr">
        <is>
          <t>Voucher stacking (rule 1)</t>
        </is>
      </c>
      <c r="C6" s="8" t="inlineStr">
        <is>
          <t>Per order: at most 1 store voucher per store, plus 1 platform voucher, plus 1 shipping voucher. Selecting a second voucher of the same type replaces the first; it never stacks.</t>
        </is>
      </c>
      <c r="D6" s="5" t="n"/>
    </row>
    <row r="7" ht="42.25" customHeight="1">
      <c r="A7" s="7" t="inlineStr">
        <is>
          <t>A3</t>
        </is>
      </c>
      <c r="B7" s="7" t="inlineStr">
        <is>
          <t>Stock deduction (rule 2)</t>
        </is>
      </c>
      <c r="C7" s="8" t="inlineStr">
        <is>
          <t>Stock is deducted when the order is placed, for every payment method. It is restored when the order is cancelled (by buyer, seller or auto-cancel). For a Return-to-Sender or returned parcel, stock is restored when the seller confirms receipt. Stock can never go below 0.</t>
        </is>
      </c>
      <c r="D7" s="5" t="n"/>
    </row>
    <row r="8" ht="29.5" customHeight="1">
      <c r="A8" s="7" t="inlineStr">
        <is>
          <t>A4</t>
        </is>
      </c>
      <c r="B8" s="7" t="inlineStr">
        <is>
          <t>Sale + voucher (rule 3)</t>
        </is>
      </c>
      <c r="C8" s="8" t="inlineStr">
        <is>
          <t>Vouchers apply to items already on sale. Minimum spend is checked against the price actually paid (the sale or flash price), not the original price.</t>
        </is>
      </c>
      <c r="D8" s="5" t="n"/>
    </row>
    <row r="9" ht="55" customHeight="1">
      <c r="A9" s="7" t="inlineStr">
        <is>
          <t>A5</t>
        </is>
      </c>
      <c r="B9" s="7" t="inlineStr">
        <is>
          <t>Flash sales (rule 4)</t>
        </is>
      </c>
      <c r="C9" s="8" t="inlineStr">
        <is>
          <t>Sellers create flash sales for their own products in fixed time slots. When a product is in both a store sale and a flash sale, the flash price wins while flash quantity remains. Units beyond the remaining flash quantity in the same order are charged at the store sale price, or the regular price if there is no sale, and are shown on a separate line.</t>
        </is>
      </c>
      <c r="D9" s="5" t="n"/>
    </row>
    <row r="10" ht="42.25" customHeight="1">
      <c r="A10" s="7" t="inlineStr">
        <is>
          <t>A6</t>
        </is>
      </c>
      <c r="B10" s="7" t="inlineStr">
        <is>
          <t>Cancellation window and auto-cancel (rule 5)</t>
        </is>
      </c>
      <c r="C10" s="8" t="inlineStr">
        <is>
          <t>A buyer can cancel until the seller marks the order Ready for Pickup; after that there is no cancel option at all. A seller can cancel until the parcel is Picked Up. Unpaid e-wallet or card orders auto-cancel exactly 1 hour after the order is placed.</t>
        </is>
      </c>
      <c r="D10" s="5" t="n"/>
    </row>
    <row r="11" ht="29.5" customHeight="1">
      <c r="A11" s="7" t="inlineStr">
        <is>
          <t>A7</t>
        </is>
      </c>
      <c r="B11" s="7" t="inlineStr">
        <is>
          <t>Variation limits and category depth (rule 6)</t>
        </is>
      </c>
      <c r="C11" s="8" t="inlineStr">
        <is>
          <t>A product has at most 2 variation types, with 1 to 20 options per type. Store categories have at most 2 levels (category and subcategory). A product can belong to up to 3 store categories.</t>
        </is>
      </c>
      <c r="D11" s="5" t="n"/>
    </row>
    <row r="12" ht="80.5" customHeight="1">
      <c r="A12" s="7" t="inlineStr">
        <is>
          <t>A8</t>
        </is>
      </c>
      <c r="B12" s="7" t="inlineStr">
        <is>
          <t>Voucher funding (rule 7)</t>
        </is>
      </c>
      <c r="C12" s="8" t="inlineStr">
        <is>
          <t>Store vouchers, sale discounts, flash sales and bundle discounts are seller-funded. Platform vouchers and shipping vouchers are platform-funded and never reduce the seller's earnings. A platform voucher on a multi-store checkout is split across the store orders in proportion to each store's merchandise subtotal, rounded to the centavo, with any rounding remainder given to the largest store. When only some items in an order are refunded, the store voucher is split across the items in proportion to their price, and the refund is the item price minus its voucher share.</t>
        </is>
      </c>
      <c r="D12" s="5" t="n"/>
    </row>
    <row r="13" ht="29.5" customHeight="1">
      <c r="A13" s="7" t="inlineStr">
        <is>
          <t>A9</t>
        </is>
      </c>
      <c r="B13" s="7" t="inlineStr">
        <is>
          <t>Platform commission and rounding</t>
        </is>
      </c>
      <c r="C13" s="8" t="inlineStr">
        <is>
          <t>Commission is 5% of the item subtotal after seller-funded discounts. Shipping fees are not part of the seller's gross sales. All money is rounded to 2 decimals (half up) per order.</t>
        </is>
      </c>
      <c r="D13" s="5" t="n"/>
    </row>
    <row r="14" ht="55" customHeight="1">
      <c r="A14" s="7" t="inlineStr">
        <is>
          <t>A10</t>
        </is>
      </c>
      <c r="B14" s="7" t="inlineStr">
        <is>
          <t>Order status flow</t>
        </is>
      </c>
      <c r="C14" s="8" t="inlineStr">
        <is>
          <t>Buyer tabs: To Pay → To Ship → To Receive → Completed (or Cancelled, Return/Refund). Seller: New → Accepted → Packed → Ready for Pickup. Shipment: Ready for Pickup → Assigned → Picked Up → At Hub → Out for Delivery → Delivered (or Failed Delivery → Return to Sender → Returned to Sender). No status can be skipped or moved backwards except by a logged Logistics override.</t>
        </is>
      </c>
      <c r="D14" s="5" t="inlineStr">
        <is>
          <t xml:space="preserve">BoomBuy status names (ERP Flow): Assigned = Pickup Assigned / Assigned for Delivery, At Hub = At Sorting Center, Failed Delivery = Delivery Failed, Return to Sender is shown for a refused parcel or the 3rd failed attempt, Returned to Sender = Returned to Seller. Overrides are logged.</t>
        </is>
      </c>
    </row>
    <row r="15" ht="42.25" customHeight="1">
      <c r="A15" s="7" t="inlineStr">
        <is>
          <t>A11</t>
        </is>
      </c>
      <c r="B15" s="7" t="inlineStr">
        <is>
          <t>Order completion and return window</t>
        </is>
      </c>
      <c r="C15" s="8" t="inlineStr">
        <is>
          <t>The buyer clicks Order Received, or the order completes automatically 7 days (168 hours) after Delivered. A return or refund can be requested only after Delivered, within those 7 days and before the order is Completed.</t>
        </is>
      </c>
      <c r="D15" s="5" t="n"/>
    </row>
    <row r="16" ht="55" customHeight="1">
      <c r="A16" s="7" t="inlineStr">
        <is>
          <t>A12</t>
        </is>
      </c>
      <c r="B16" s="7" t="inlineStr">
        <is>
          <t>Reviews</t>
        </is>
      </c>
      <c r="C16" s="8" t="inlineStr">
        <is>
          <t>A review is allowed only for Completed orders, within 30 days of completion, one review per item. Stars (1–5) are required; text is optional, up to 500 characters; up to 5 photos. It can be edited once within the 30 days. The seller can post one reply per review and edit it; the seller cannot delete or hide a buyer's review.</t>
        </is>
      </c>
      <c r="D16" s="5" t="n"/>
    </row>
    <row r="17" ht="42.25" customHeight="1">
      <c r="A17" s="7" t="inlineStr">
        <is>
          <t>A13</t>
        </is>
      </c>
      <c r="B17" s="7" t="inlineStr">
        <is>
          <t>Failed delivery</t>
        </is>
      </c>
      <c r="C17" s="8" t="inlineStr">
        <is>
          <t>Up to 3 delivery attempts. A reason from the list (Buyer not home, Wrong address, Refused) is required for every failed attempt. After the 3rd failed attempt, or immediately when the reason is Refused, the parcel is marked Return to Sender.</t>
        </is>
      </c>
      <c r="D17" s="5" t="inlineStr">
        <is>
          <t xml:space="preserve">Same rule (3 attempts; Refused = straight to Return to Sender). BoomBuy reason list: Buyer not available (= not home), Buyer unreachable by phone, Wrong or incomplete address, Buyer refused the parcel (= Refused), Other.</t>
        </is>
      </c>
    </row>
    <row r="18" ht="42.25" customHeight="1">
      <c r="A18" s="7" t="inlineStr">
        <is>
          <t>A14</t>
        </is>
      </c>
      <c r="B18" s="7" t="inlineStr">
        <is>
          <t>Rider job rules</t>
        </is>
      </c>
      <c r="C18" s="8" t="inlineStr">
        <is>
          <t>A job offer expires after 60 seconds. A declined or expired offer goes to the next nearest eligible rider; after 3 riders decline or let it expire, the job goes to the Unassigned queue for manual assignment. A rider holds at most 3 active jobs. Only Active, Online riders receive offers.</t>
        </is>
      </c>
      <c r="D18" s="5" t="inlineStr">
        <is>
          <t xml:space="preserve">Same rule. 'Nearest' = the rider whose delivery area is the seller's town, then the seller's province, then fewest jobs.</t>
        </is>
      </c>
    </row>
    <row r="19" ht="42.25" customHeight="1">
      <c r="A19" s="7" t="inlineStr">
        <is>
          <t>A15</t>
        </is>
      </c>
      <c r="B19" s="7" t="inlineStr">
        <is>
          <t>Seller earnings and payout</t>
        </is>
      </c>
      <c r="C19" s="8" t="inlineStr">
        <is>
          <t>Earnings move from Pending to Available only when an order is Completed. Cancelled, returned and refunded amounts are excluded. A payout request must be at least ₱100.00 and no more than the Available balance, and only one payout request can be pending at a time.</t>
        </is>
      </c>
      <c r="D19" s="5" t="n"/>
    </row>
    <row r="20" ht="29.5" customHeight="1">
      <c r="A20" s="7" t="inlineStr">
        <is>
          <t>A16</t>
        </is>
      </c>
      <c r="B20" s="7" t="inlineStr">
        <is>
          <t>Image upload rule</t>
        </is>
      </c>
      <c r="C20" s="8" t="inlineStr">
        <is>
          <t>Product, logo, banner, review, return, chat and proof-of-delivery images: JPG or PNG only (checked by file content, not just the extension), maximum 5 MB each. A product has 1 to 9 images.</t>
        </is>
      </c>
      <c r="D20" s="5" t="n"/>
    </row>
    <row r="21" ht="29.5" customHeight="1">
      <c r="A21" s="7" t="inlineStr">
        <is>
          <t>A17</t>
        </is>
      </c>
      <c r="B21" s="7" t="inlineStr">
        <is>
          <t>Price and quantity rule</t>
        </is>
      </c>
      <c r="C21" s="8" t="inlineStr">
        <is>
          <t>Prices range from ₱1.00 to ₱1,000,000.00 with up to 2 decimal places. Stock and quantities are whole numbers from 0 to 99,999.</t>
        </is>
      </c>
      <c r="D21" s="5" t="n"/>
    </row>
    <row r="22" ht="42.25" customHeight="1">
      <c r="A22" s="7" t="inlineStr">
        <is>
          <t>A18</t>
        </is>
      </c>
      <c r="B22" s="7" t="inlineStr">
        <is>
          <t>Store vacation and verification</t>
        </is>
      </c>
      <c r="C22" s="8" t="inlineStr">
        <is>
          <t>In vacation mode, products stay visible but Add to Cart and Buy Now are disabled with an 'On vacation' label, and checkout of items already in carts is blocked. A seller that is not Approved can save products only as drafts and cannot publish.</t>
        </is>
      </c>
      <c r="D22" s="5" t="n"/>
    </row>
    <row r="23" ht="55" customHeight="1">
      <c r="A23" s="7" t="inlineStr">
        <is>
          <t>A19</t>
        </is>
      </c>
      <c r="B23" s="7" t="inlineStr">
        <is>
          <t>Deleting categories and products</t>
        </is>
      </c>
      <c r="C23" s="8" t="inlineStr">
        <is>
          <t>Deleting a store category that still has products moves those products to 'Uncategorized'. Deleting a parent category also deletes its subcategories. A product or a variant with unfinished orders cannot be deleted; other deletes are soft deletes, so order history still shows the product's name, image and price.</t>
        </is>
      </c>
      <c r="D23" s="5" t="n"/>
    </row>
    <row r="24" ht="42.25" customHeight="1">
      <c r="A24" s="7" t="inlineStr">
        <is>
          <t>A20</t>
        </is>
      </c>
      <c r="B24" s="7" t="inlineStr">
        <is>
          <t>Shipping fee</t>
        </is>
      </c>
      <c r="C24" s="8" t="inlineStr">
        <is>
          <t>Shipping is charged per store, using the rate table on the Test Data sheet. Chargeable weight is the total actual weight of that store's items in the order, rounded up to the next whole kg. Rate changes apply only to checkouts started after the change.</t>
        </is>
      </c>
      <c r="D24" s="5" t="inlineStr">
        <is>
          <t xml:space="preserve">BoomBuy: rates come from Logistics -&gt; Zones &amp; Rates (first kg + each extra whole kg per route); an address outside every zone is not serviceable. Placed orders keep their fee.</t>
        </is>
      </c>
    </row>
    <row r="25" ht="29.5" customHeight="1">
      <c r="A25" s="7" t="inlineStr">
        <is>
          <t>A21</t>
        </is>
      </c>
      <c r="B25" s="7" t="inlineStr">
        <is>
          <t>Voucher return on cancellation</t>
        </is>
      </c>
      <c r="C25" s="8" t="inlineStr">
        <is>
          <t>A voucher used on a cancelled order is returned to the buyer's wallet if it has not yet expired, and its usage count is reduced by 1. A voucher is not returned for a refunded (returned) order.</t>
        </is>
      </c>
      <c r="D25" s="5" t="n"/>
    </row>
    <row r="26" ht="42.25" customHeight="1">
      <c r="A26" s="7" t="inlineStr">
        <is>
          <t>A22</t>
        </is>
      </c>
      <c r="B26" s="7" t="inlineStr">
        <is>
          <t>Session and access</t>
        </is>
      </c>
      <c r="C26" s="8" t="inlineStr">
        <is>
          <t>Each role can open only its own pages; other roles get 403 or a redirect, for both pages and direct API requests. Users can open only their own records (orders, products, shipments, riders). A session expires after 30 minutes of inactivity.</t>
        </is>
      </c>
      <c r="D26" s="5" t="inlineStr">
        <is>
          <t xml:space="preserve">A logistics company works only on its own Sorting Center's parcels and its own riders; another company's records are refused (403 or an error message, nothing changes).</t>
        </is>
      </c>
    </row>
    <row r="27" ht="29.5" customHeight="1">
      <c r="A27" s="7" t="inlineStr">
        <is>
          <t>A23</t>
        </is>
      </c>
      <c r="B27" s="7" t="inlineStr">
        <is>
          <t>Notifications</t>
        </is>
      </c>
      <c r="C27" s="8" t="inlineStr">
        <is>
          <t>Every order or shipment status change sends an in-app notification to each role involved, and to no one else. Emails use example.com and are read from the mail catcher.</t>
        </is>
      </c>
      <c r="D27" s="5" t="n"/>
    </row>
    <row r="28" ht="42.25" customHeight="1">
      <c r="A28" s="7" t="inlineStr">
        <is>
          <t>A24</t>
        </is>
      </c>
      <c r="B28" s="7" t="inlineStr">
        <is>
          <t>COD remittance</t>
        </is>
      </c>
      <c r="C28" s="8" t="inlineStr">
        <is>
          <t>Riders remit the full COD collected to their logistics company by the end of the day. Only the logistics company can confirm a remittance. Any difference between collected and remitted COD is flagged on the reconciliation screen.</t>
        </is>
      </c>
      <c r="D28" s="5" t="inlineStr">
        <is>
          <t xml:space="preserve">Same rule: the rider submits a remittance, only the logistics company confirms it, a short amount stays outstanding on the rider and is flagged on the reconciliation screen.</t>
        </is>
      </c>
    </row>
    <row r="29" ht="55" customHeight="1">
      <c r="A29" s="7" t="inlineStr">
        <is>
          <t>A25</t>
        </is>
      </c>
      <c r="B29" s="7" t="inlineStr">
        <is>
          <t>Text field limits</t>
        </is>
      </c>
      <c r="C29" s="8" t="inlineStr">
        <is>
          <t>Store name 3–30 characters (unique, not case-sensitive, spaces trimmed). Store description up to 500. Store category name 1–50 (unique per store, not case-sensitive, trimmed). Product name 5–120. Product description 20–3,000. Note to seller up to 200. Chat message 1–1,000. Free-text reasons (cancel, reject, override, suspend) 10–300. HTML or script entered in any field is shown as plain text.</t>
        </is>
      </c>
      <c r="D29" s="5" t="n"/>
    </row>
    <row r="30" ht="29.5" customHeight="1">
      <c r="A30" s="7" t="inlineStr">
        <is>
          <t>A26</t>
        </is>
      </c>
      <c r="B30" s="7" t="inlineStr">
        <is>
          <t>Voucher code rule</t>
        </is>
      </c>
      <c r="C30" s="8" t="inlineStr">
        <is>
          <t>4 to 12 letters and digits, no spaces or symbols, saved in uppercase. Codes are unique across the whole platform. Buyers can type the code in any case.</t>
        </is>
      </c>
      <c r="D30" s="5" t="n"/>
    </row>
    <row r="31" ht="42.25" customHeight="1">
      <c r="A31" s="7" t="inlineStr">
        <is>
          <t>A27</t>
        </is>
      </c>
      <c r="B31" s="7" t="inlineStr">
        <is>
          <t>Editing vouchers after claim</t>
        </is>
      </c>
      <c r="C31" s="8" t="inlineStr">
        <is>
          <t>Once any buyer has claimed a voucher, the seller can only extend its end date or raise its usage limit; all other fields are locked. Ending a voucher removes it from the wallets of buyers who have not used it; orders already placed keep their discount.</t>
        </is>
      </c>
      <c r="D31" s="5" t="n"/>
    </row>
    <row r="32" ht="42.25" customHeight="1">
      <c r="A32" s="7" t="inlineStr">
        <is>
          <t>A28</t>
        </is>
      </c>
      <c r="B32" s="7" t="inlineStr">
        <is>
          <t>Store sales</t>
        </is>
      </c>
      <c r="C32" s="8" t="inlineStr">
        <is>
          <t>A product can be in only one store sale at a time; overlapping schedules are rejected. A running sale's discount can be edited and applies immediately to new orders; End Now ends it at once. Orders already placed keep the price paid.</t>
        </is>
      </c>
      <c r="D32" s="5" t="n"/>
    </row>
    <row r="33" ht="29.5" customHeight="1">
      <c r="A33" s="7" t="inlineStr">
        <is>
          <t>A29</t>
        </is>
      </c>
      <c r="B33" s="7" t="inlineStr">
        <is>
          <t>Low-stock alert</t>
        </is>
      </c>
      <c r="C33" s="8" t="inlineStr">
        <is>
          <t>An alert is shown when a product's or variant's stock reaches 5 or fewer, once per crossing (it does not repeat until stock goes above 5 and drops again).</t>
        </is>
      </c>
      <c r="D33" s="5" t="n"/>
    </row>
    <row r="34" ht="42.25" customHeight="1">
      <c r="A34" s="7" t="inlineStr">
        <is>
          <t>A30</t>
        </is>
      </c>
      <c r="B34" s="7" t="inlineStr">
        <is>
          <t>Address book</t>
        </is>
      </c>
      <c r="C34" s="8" t="inlineStr">
        <is>
          <t>Up to 10 addresses per buyer. The default address cannot be deleted until another address is made default. Orders keep a copy of the address at order time, so editing or deleting an address does not change existing orders.</t>
        </is>
      </c>
      <c r="D34" s="5" t="n"/>
    </row>
    <row r="35" ht="55" customHeight="1">
      <c r="A35" s="7" t="inlineStr">
        <is>
          <t>A31</t>
        </is>
      </c>
      <c r="B35" s="7" t="inlineStr">
        <is>
          <t>Return and refund requests</t>
        </is>
      </c>
      <c r="C35" s="8" t="inlineStr">
        <is>
          <t>Reason from the list, a description of 10–500 characters, and 1 to 5 photos (JPG or PNG, 5 MB each) are required. The seller must respond within 3 days or the request is auto-approved. A rejected request can be escalated to a dispute once, within 3 days. The refund goes to the original payment method; for COD orders, to the buyer's refund account.</t>
        </is>
      </c>
      <c r="D35" s="5" t="n"/>
    </row>
    <row r="36" ht="42.25" customHeight="1">
      <c r="A36" s="7" t="inlineStr">
        <is>
          <t>A32</t>
        </is>
      </c>
      <c r="B36" s="7" t="inlineStr">
        <is>
          <t>Proof of delivery</t>
        </is>
      </c>
      <c r="C36" s="8" t="inlineStr">
        <is>
          <t>Delivered needs a photo (JPG or PNG) and the 6-digit delivery OTP shown in the buyer's app once the parcel is Out for Delivery. After 5 wrong OTP entries, OTP entry on that job is locked for 15 minutes.</t>
        </is>
      </c>
      <c r="D36" s="5" t="n"/>
    </row>
    <row r="37" ht="29.5" customHeight="1">
      <c r="A37" s="7" t="inlineStr">
        <is>
          <t>A33</t>
        </is>
      </c>
      <c r="B37" s="7" t="inlineStr">
        <is>
          <t>Rider pay</t>
        </is>
      </c>
      <c r="C37" s="8" t="inlineStr">
        <is>
          <t>₱50.00 per successful delivery, ₱30.00 per completed pickup, ₱0.00 for a failed attempt. Pay is not reduced by COD.</t>
        </is>
      </c>
      <c r="D37" s="5" t="inlineStr">
        <is>
          <t xml:space="preserve">Rider pay: ₱30.00 per pickup; a delivery earns the platform base delivery fee (₱50.00 with the sheet's rates); ₱0.00 for a failed attempt.</t>
        </is>
      </c>
    </row>
    <row r="38" ht="55" customHeight="1">
      <c r="A38" s="7" t="inlineStr">
        <is>
          <t>A34</t>
        </is>
      </c>
      <c r="B38" s="7" t="inlineStr">
        <is>
          <t>Dispatch and reassignment</t>
        </is>
      </c>
      <c r="C38" s="8" t="inlineStr">
        <is>
          <t>Auto-assign offers a job to the nearest Online, Active rider of the same company with fewer than 3 active jobs. Logistics can reassign a job only before it is Picked Up. Suspending a rider returns their not-yet-picked-up jobs to the Unassigned queue; parcels already picked up stay with that rider.</t>
        </is>
      </c>
      <c r="D38" s="5" t="n"/>
    </row>
    <row r="39" ht="42.25" customHeight="1">
      <c r="A39" s="7" t="inlineStr">
        <is>
          <t>A35</t>
        </is>
      </c>
      <c r="B39" s="7" t="inlineStr">
        <is>
          <t>Audit log</t>
        </is>
      </c>
      <c r="C39" s="8" t="inlineStr">
        <is>
          <t>Every manual status override, rider approval or suspension, rate change and remittance confirmation is logged with user, date and time, old value, new value and reason. Log entries cannot be edited or deleted from the UI.</t>
        </is>
      </c>
      <c r="D39" s="5" t="inlineStr">
        <is>
          <t xml:space="preserve">Same rule. The Audit Log page (Logistics -&gt; Audit Log) has no edit or delete.</t>
        </is>
      </c>
    </row>
    <row r="40" ht="29.5" customHeight="1">
      <c r="A40" s="7" t="inlineStr">
        <is>
          <t>A36</t>
        </is>
      </c>
      <c r="B40" s="7" t="inlineStr">
        <is>
          <t>Report export</t>
        </is>
      </c>
      <c r="C40" s="8" t="inlineStr">
        <is>
          <t>Reports export as CSV and XLSX. Exported rows and totals equal the on-screen rows and totals for the same filter.</t>
        </is>
      </c>
      <c r="D40" s="5" t="n"/>
    </row>
    <row r="41" ht="42.25" customHeight="1">
      <c r="A41" s="7" t="inlineStr">
        <is>
          <t>A37</t>
        </is>
      </c>
      <c r="B41" s="7" t="inlineStr">
        <is>
          <t>Duplicate submissions</t>
        </is>
      </c>
      <c r="C41" s="8" t="inlineStr">
        <is>
          <t>Every create or submit action (Publish, Place Order, Pay, Request Payout, Accept job, Remit, Confirm) is idempotent: double-clicking, pressing Enter twice, refreshing or pressing Back and resubmitting never creates a second record or a second charge.</t>
        </is>
      </c>
      <c r="D41" s="5" t="n"/>
    </row>
  </sheetData>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3"/>
  <sheetViews>
    <sheetView workbookViewId="0">
      <selection activeCell="A1" sqref="A1"/>
    </sheetView>
  </sheetViews>
  <sheetFormatPr baseColWidth="8" defaultRowHeight="15"/>
  <cols>
    <col width="12" customWidth="1" min="1" max="1"/>
    <col width="30" customWidth="1" min="2" max="2"/>
    <col width="40" customWidth="1" min="3" max="3"/>
    <col width="40" customWidth="1" min="4" max="4"/>
    <col width="22" customWidth="1" min="5" max="5"/>
    <col width="44" customWidth="1" min="6" max="6"/>
  </cols>
  <sheetData>
    <row r="1">
      <c r="A1" s="1" t="inlineStr">
        <is>
          <t>Test data</t>
        </is>
      </c>
    </row>
    <row r="2" ht="30" customHeight="1">
      <c r="A2" s="11" t="inlineStr">
        <is>
          <t>Shared by all five module workbooks. All people, stores, numbers and addresses are fictional. Seed these products, vouchers and rates before testing, or replace them with your own and update the Test Data column on the module sheets.</t>
        </is>
      </c>
    </row>
    <row r="4">
      <c r="A4" s="3" t="inlineStr">
        <is>
          <t>Accounts (created in the Account Creation test set)</t>
        </is>
      </c>
    </row>
    <row r="5">
      <c r="A5" s="6" t="inlineStr">
        <is>
          <t>Ref</t>
        </is>
      </c>
      <c r="B5" s="6" t="inlineStr">
        <is>
          <t>Role</t>
        </is>
      </c>
      <c r="C5" s="6" t="inlineStr">
        <is>
          <t>Name / store</t>
        </is>
      </c>
      <c r="D5" s="6" t="inlineStr">
        <is>
          <t>Login email</t>
        </is>
      </c>
      <c r="E5" s="6" t="inlineStr">
        <is>
          <t>Password</t>
        </is>
      </c>
      <c r="F5" s="6" t="inlineStr">
        <is>
          <t>Status / notes</t>
        </is>
      </c>
    </row>
    <row r="6" ht="16.75" customHeight="1">
      <c r="A6" s="4" t="inlineStr">
        <is>
          <t>Buyer 1</t>
        </is>
      </c>
      <c r="B6" s="8" t="inlineStr">
        <is>
          <t>Buyer</t>
        </is>
      </c>
      <c r="C6" s="8" t="inlineStr">
        <is>
          <t>Juan Miguel Dela Cruz</t>
        </is>
      </c>
      <c r="D6" s="8" t="inlineStr">
        <is>
          <t>juanmiguel.delacruz@example.com</t>
        </is>
      </c>
      <c r="E6" s="8" t="inlineStr">
        <is>
          <t>Mamimili@2026</t>
        </is>
      </c>
      <c r="F6" s="8" t="inlineStr">
        <is>
          <t>Active. Main buyer.</t>
        </is>
      </c>
    </row>
    <row r="7" ht="29.5" customHeight="1">
      <c r="A7" s="4" t="inlineStr">
        <is>
          <t>Buyer 2</t>
        </is>
      </c>
      <c r="B7" s="8" t="inlineStr">
        <is>
          <t>Buyer</t>
        </is>
      </c>
      <c r="C7" s="8" t="inlineStr">
        <is>
          <t>Ana Marie Reyes</t>
        </is>
      </c>
      <c r="D7" s="8" t="inlineStr">
        <is>
          <t>anamarie.reyes@example.com</t>
        </is>
      </c>
      <c r="E7" s="8" t="inlineStr">
        <is>
          <t>Suki#2026Ana</t>
        </is>
      </c>
      <c r="F7" s="8" t="inlineStr">
        <is>
          <t>Active. Second buyer for concurrency and access tests.</t>
        </is>
      </c>
    </row>
    <row r="8" ht="29.5" customHeight="1">
      <c r="A8" s="4" t="inlineStr">
        <is>
          <t>Seller 1</t>
        </is>
      </c>
      <c r="B8" s="8" t="inlineStr">
        <is>
          <t>Seller</t>
        </is>
      </c>
      <c r="C8" s="8" t="inlineStr">
        <is>
          <t>Maria Clara Handicrafts (Maria Clara Santos)</t>
        </is>
      </c>
      <c r="D8" s="8" t="inlineStr">
        <is>
          <t>mariaclara.santos@example.com</t>
        </is>
      </c>
      <c r="E8" s="8" t="inlineStr">
        <is>
          <t>Tindahan@2026</t>
        </is>
      </c>
      <c r="F8" s="8" t="inlineStr">
        <is>
          <t>Approved. Pickup: Commonwealth, Quezon City (NCR). Main seller.</t>
        </is>
      </c>
    </row>
    <row r="9" ht="16.75" customHeight="1">
      <c r="A9" s="4" t="inlineStr">
        <is>
          <t>Seller 2</t>
        </is>
      </c>
      <c r="B9" s="8" t="inlineStr">
        <is>
          <t>Seller</t>
        </is>
      </c>
      <c r="C9" s="8" t="inlineStr">
        <is>
          <t>RV Gadget Hub (Roberto Villanueva)</t>
        </is>
      </c>
      <c r="D9" s="8" t="inlineStr">
        <is>
          <t>roberto.villanueva@example.com</t>
        </is>
      </c>
      <c r="E9" s="8" t="inlineStr">
        <is>
          <t>Gadget#Hub26</t>
        </is>
      </c>
      <c r="F9" s="8" t="inlineStr">
        <is>
          <t>Approved. Pickup: Lahug, Cebu City (Visayas).</t>
        </is>
      </c>
    </row>
    <row r="10" ht="29.5" customHeight="1">
      <c r="A10" s="4" t="inlineStr">
        <is>
          <t>Seller 3</t>
        </is>
      </c>
      <c r="B10" s="8" t="inlineStr">
        <is>
          <t>Seller</t>
        </is>
      </c>
      <c r="C10" s="8" t="inlineStr">
        <is>
          <t>Tindahan ni Lola (test)</t>
        </is>
      </c>
      <c r="D10" s="8" t="inlineStr">
        <is>
          <t>seller.test01@example.com</t>
        </is>
      </c>
      <c r="E10" s="8" t="inlineStr">
        <is>
          <t>Tindahan@2026</t>
        </is>
      </c>
      <c r="F10" s="8" t="inlineStr">
        <is>
          <t>Pending Approval. For the unverified-seller cases.</t>
        </is>
      </c>
    </row>
    <row r="11" ht="29.5" customHeight="1">
      <c r="A11" s="4" t="inlineStr">
        <is>
          <t>Logistics 1</t>
        </is>
      </c>
      <c r="B11" s="8" t="inlineStr">
        <is>
          <t>Logistics</t>
        </is>
      </c>
      <c r="C11" s="8" t="inlineStr">
        <is>
          <t>Bilis Hatid Express Inc. (Carlos Antonio Mendoza)</t>
        </is>
      </c>
      <c r="D11" s="8" t="inlineStr">
        <is>
          <t>operations@bilishatid.example.com</t>
        </is>
      </c>
      <c r="E11" s="8" t="inlineStr">
        <is>
          <t>Hatid@2026</t>
        </is>
      </c>
      <c r="F11" s="8" t="inlineStr">
        <is>
          <t>Approved. Serves NCR and CALABARZON. Main logistics account.</t>
        </is>
      </c>
    </row>
    <row r="12" ht="29.5" customHeight="1">
      <c r="A12" s="4" t="inlineStr">
        <is>
          <t>Logistics 2</t>
        </is>
      </c>
      <c r="B12" s="8" t="inlineStr">
        <is>
          <t>Logistics</t>
        </is>
      </c>
      <c r="C12" s="8" t="inlineStr">
        <is>
          <t>Agila Cargo Movers Corp. (Liza Mae Fernandez)</t>
        </is>
      </c>
      <c r="D12" s="8" t="inlineStr">
        <is>
          <t>admin@agilacargo.example.com</t>
        </is>
      </c>
      <c r="E12" s="8" t="inlineStr">
        <is>
          <t>Agila#Cargo26</t>
        </is>
      </c>
      <c r="F12" s="8" t="inlineStr">
        <is>
          <t>Approved. Serves Davao. Used for cross-company access tests.</t>
        </is>
      </c>
    </row>
    <row r="13" ht="16.75" customHeight="1">
      <c r="A13" s="4" t="inlineStr">
        <is>
          <t>Rider 1</t>
        </is>
      </c>
      <c r="B13" s="8" t="inlineStr">
        <is>
          <t>Rider</t>
        </is>
      </c>
      <c r="C13" s="8" t="inlineStr">
        <is>
          <t>Pedro Jose Garcia (Motorcycle, 123ABC)</t>
        </is>
      </c>
      <c r="D13" s="8" t="inlineStr">
        <is>
          <t>pedrojose.garcia@example.com</t>
        </is>
      </c>
      <c r="E13" s="8" t="inlineStr">
        <is>
          <t>Rider@2026</t>
        </is>
      </c>
      <c r="F13" s="8" t="inlineStr">
        <is>
          <t>Active, under Logistics 1. Main rider.</t>
        </is>
      </c>
    </row>
    <row r="14" ht="29.5" customHeight="1">
      <c r="A14" s="4" t="inlineStr">
        <is>
          <t>Rider 2</t>
        </is>
      </c>
      <c r="B14" s="8" t="inlineStr">
        <is>
          <t>Rider</t>
        </is>
      </c>
      <c r="C14" s="8" t="inlineStr">
        <is>
          <t>Mark Anthony Bautista (Van, NBC1234)</t>
        </is>
      </c>
      <c r="D14" s="8" t="inlineStr">
        <is>
          <t>markanthony.bautista@example.com</t>
        </is>
      </c>
      <c r="E14" s="8" t="inlineStr">
        <is>
          <t>Hatid#Mark26</t>
        </is>
      </c>
      <c r="F14" s="8" t="inlineStr">
        <is>
          <t>Active, under Logistics 1. Second rider for concurrency tests.</t>
        </is>
      </c>
    </row>
    <row r="15" ht="29.5" customHeight="1">
      <c r="A15" s="4" t="inlineStr">
        <is>
          <t>Rider 3</t>
        </is>
      </c>
      <c r="B15" s="8" t="inlineStr">
        <is>
          <t>Rider</t>
        </is>
      </c>
      <c r="C15" s="8" t="inlineStr">
        <is>
          <t>Ramon Cruz (Motorcycle, 456DEF)</t>
        </is>
      </c>
      <c r="D15" s="8" t="inlineStr">
        <is>
          <t>rider.test01@example.com</t>
        </is>
      </c>
      <c r="E15" s="8" t="inlineStr">
        <is>
          <t>Rider@2026</t>
        </is>
      </c>
      <c r="F15" s="8" t="inlineStr">
        <is>
          <t>Suspended by Logistics 1. For blocked-rider cases.</t>
        </is>
      </c>
    </row>
    <row r="16" ht="29.5" customHeight="1">
      <c r="A16" s="4" t="inlineStr">
        <is>
          <t>Admin</t>
        </is>
      </c>
      <c r="B16" s="8" t="inlineStr">
        <is>
          <t>Admin</t>
        </is>
      </c>
      <c r="C16" s="8" t="inlineStr">
        <is>
          <t>Seeded admin</t>
        </is>
      </c>
      <c r="D16" s="8" t="inlineStr">
        <is>
          <t>Use the admin account already seeded in your system</t>
        </is>
      </c>
      <c r="E16" s="8" t="inlineStr"/>
      <c r="F16" s="8" t="inlineStr">
        <is>
          <t>Creates platform vouchers PLAT100 and FREESHIP.</t>
        </is>
      </c>
    </row>
    <row r="18">
      <c r="A18" s="3" t="inlineStr">
        <is>
          <t>Buyer addresses</t>
        </is>
      </c>
    </row>
    <row r="19">
      <c r="A19" s="6" t="inlineStr">
        <is>
          <t>Ref</t>
        </is>
      </c>
      <c r="B19" s="6" t="inlineStr">
        <is>
          <t>Owner</t>
        </is>
      </c>
      <c r="C19" s="6" t="inlineStr">
        <is>
          <t>Label</t>
        </is>
      </c>
      <c r="D19" s="6" t="inlineStr">
        <is>
          <t>Address</t>
        </is>
      </c>
      <c r="E19" s="6" t="inlineStr">
        <is>
          <t>Recipient / phone</t>
        </is>
      </c>
      <c r="F19" s="6" t="inlineStr">
        <is>
          <t>Notes</t>
        </is>
      </c>
    </row>
    <row r="20" ht="29.5" customHeight="1">
      <c r="A20" s="4" t="inlineStr">
        <is>
          <t>ADDR-1</t>
        </is>
      </c>
      <c r="B20" s="8" t="inlineStr">
        <is>
          <t>Buyer 1</t>
        </is>
      </c>
      <c r="C20" s="8" t="inlineStr">
        <is>
          <t>Home (default)</t>
        </is>
      </c>
      <c r="D20" s="8" t="inlineStr">
        <is>
          <t>45 Kalayaan Ave., Brgy. Central, Quezon City, Metro Manila, NCR 1100</t>
        </is>
      </c>
      <c r="E20" s="8" t="inlineStr">
        <is>
          <t>Juan Miguel Dela Cruz / 09171234567</t>
        </is>
      </c>
      <c r="F20" s="8" t="inlineStr">
        <is>
          <t>Zone NCR</t>
        </is>
      </c>
    </row>
    <row r="21" ht="42.25" customHeight="1">
      <c r="A21" s="4" t="inlineStr">
        <is>
          <t>ADDR-2</t>
        </is>
      </c>
      <c r="B21" s="8" t="inlineStr">
        <is>
          <t>Buyer 1</t>
        </is>
      </c>
      <c r="C21" s="8" t="inlineStr">
        <is>
          <t>Office</t>
        </is>
      </c>
      <c r="D21" s="8" t="inlineStr">
        <is>
          <t>12F Pacific Tower, 6750 Ayala Ave., Brgy. San Lorenzo, Makati City, Metro Manila, NCR 1223</t>
        </is>
      </c>
      <c r="E21" s="8" t="inlineStr">
        <is>
          <t>Juan Miguel Dela Cruz / 09171234567</t>
        </is>
      </c>
      <c r="F21" s="8" t="inlineStr">
        <is>
          <t>Zone NCR</t>
        </is>
      </c>
    </row>
    <row r="22" ht="29.5" customHeight="1">
      <c r="A22" s="4" t="inlineStr">
        <is>
          <t>ADDR-3</t>
        </is>
      </c>
      <c r="B22" s="8" t="inlineStr">
        <is>
          <t>Buyer 2</t>
        </is>
      </c>
      <c r="C22" s="8" t="inlineStr">
        <is>
          <t>Home (default)</t>
        </is>
      </c>
      <c r="D22" s="8" t="inlineStr">
        <is>
          <t>78 Osmeña Blvd., Brgy. Capitol Site, Cebu City, Cebu, Region VII 6000</t>
        </is>
      </c>
      <c r="E22" s="8" t="inlineStr">
        <is>
          <t>Ana Marie Reyes / 09173456789</t>
        </is>
      </c>
      <c r="F22" s="8" t="inlineStr">
        <is>
          <t>Zone Visayas</t>
        </is>
      </c>
    </row>
    <row r="23" ht="29.5" customHeight="1">
      <c r="A23" s="4" t="inlineStr">
        <is>
          <t>ADDR-4</t>
        </is>
      </c>
      <c r="B23" s="8" t="inlineStr">
        <is>
          <t>Buyer 1</t>
        </is>
      </c>
      <c r="C23" s="8" t="inlineStr">
        <is>
          <t>Province</t>
        </is>
      </c>
      <c r="D23" s="8" t="inlineStr">
        <is>
          <t>Purok 2, Brgy. Raele, Itbayat, Batanes, Region II 3905</t>
        </is>
      </c>
      <c r="E23" s="8" t="inlineStr">
        <is>
          <t>Juan Miguel Dela Cruz / 09171234567</t>
        </is>
      </c>
      <c r="F23" s="8" t="inlineStr">
        <is>
          <t>Unserviceable area (no logistics zone covers it)</t>
        </is>
      </c>
    </row>
    <row r="25">
      <c r="A25" s="3" t="inlineStr">
        <is>
          <t>Store categories (Seller 1)</t>
        </is>
      </c>
    </row>
    <row r="26">
      <c r="A26" s="6" t="inlineStr">
        <is>
          <t>Ref</t>
        </is>
      </c>
      <c r="B26" s="6" t="inlineStr">
        <is>
          <t>Category</t>
        </is>
      </c>
      <c r="C26" s="6" t="inlineStr">
        <is>
          <t>Parent</t>
        </is>
      </c>
      <c r="D26" s="6" t="inlineStr">
        <is>
          <t>Visible</t>
        </is>
      </c>
      <c r="E26" s="6" t="inlineStr">
        <is>
          <t>Products</t>
        </is>
      </c>
      <c r="F26" s="6" t="inlineStr">
        <is>
          <t>Notes</t>
        </is>
      </c>
    </row>
    <row r="27" ht="16.75" customHeight="1">
      <c r="A27" s="4" t="inlineStr">
        <is>
          <t>CAT-1</t>
        </is>
      </c>
      <c r="B27" s="8" t="inlineStr">
        <is>
          <t>Bags</t>
        </is>
      </c>
      <c r="C27" s="8" t="inlineStr"/>
      <c r="D27" s="8" t="inlineStr">
        <is>
          <t>Yes</t>
        </is>
      </c>
      <c r="E27" s="8" t="inlineStr">
        <is>
          <t>P-01</t>
        </is>
      </c>
      <c r="F27" s="8" t="inlineStr"/>
    </row>
    <row r="28" ht="16.75" customHeight="1">
      <c r="A28" s="4" t="inlineStr">
        <is>
          <t>CAT-2</t>
        </is>
      </c>
      <c r="B28" s="8" t="inlineStr">
        <is>
          <t>Home Decor</t>
        </is>
      </c>
      <c r="C28" s="8" t="inlineStr"/>
      <c r="D28" s="8" t="inlineStr">
        <is>
          <t>Yes</t>
        </is>
      </c>
      <c r="E28" s="8" t="inlineStr"/>
      <c r="F28" s="8" t="inlineStr">
        <is>
          <t>Parent category</t>
        </is>
      </c>
    </row>
    <row r="29" ht="16.75" customHeight="1">
      <c r="A29" s="4" t="inlineStr">
        <is>
          <t>CAT-3</t>
        </is>
      </c>
      <c r="B29" s="8" t="inlineStr">
        <is>
          <t>Lamps</t>
        </is>
      </c>
      <c r="C29" s="8" t="inlineStr">
        <is>
          <t>Home Decor</t>
        </is>
      </c>
      <c r="D29" s="8" t="inlineStr">
        <is>
          <t>Yes</t>
        </is>
      </c>
      <c r="E29" s="8" t="inlineStr">
        <is>
          <t>P-03</t>
        </is>
      </c>
      <c r="F29" s="8" t="inlineStr">
        <is>
          <t>Subcategory (level 2)</t>
        </is>
      </c>
    </row>
    <row r="30" ht="16.75" customHeight="1">
      <c r="A30" s="4" t="inlineStr">
        <is>
          <t>CAT-4</t>
        </is>
      </c>
      <c r="B30" s="8" t="inlineStr">
        <is>
          <t>Baskets</t>
        </is>
      </c>
      <c r="C30" s="8" t="inlineStr">
        <is>
          <t>Home Decor</t>
        </is>
      </c>
      <c r="D30" s="8" t="inlineStr">
        <is>
          <t>Yes</t>
        </is>
      </c>
      <c r="E30" s="8" t="inlineStr">
        <is>
          <t>P-02</t>
        </is>
      </c>
      <c r="F30" s="8" t="inlineStr">
        <is>
          <t>Subcategory (level 2)</t>
        </is>
      </c>
    </row>
    <row r="31" ht="16.75" customHeight="1">
      <c r="A31" s="4" t="inlineStr">
        <is>
          <t>CAT-5</t>
        </is>
      </c>
      <c r="B31" s="8" t="inlineStr">
        <is>
          <t>Kitchen &amp; Dining</t>
        </is>
      </c>
      <c r="C31" s="8" t="inlineStr"/>
      <c r="D31" s="8" t="inlineStr">
        <is>
          <t>Yes</t>
        </is>
      </c>
      <c r="E31" s="8" t="inlineStr">
        <is>
          <t>P-04</t>
        </is>
      </c>
      <c r="F31" s="8" t="inlineStr"/>
    </row>
    <row r="33">
      <c r="A33" s="3" t="inlineStr">
        <is>
          <t>Products</t>
        </is>
      </c>
    </row>
    <row r="34">
      <c r="A34" s="6" t="inlineStr">
        <is>
          <t>Ref</t>
        </is>
      </c>
      <c r="B34" s="6" t="inlineStr">
        <is>
          <t>Seller</t>
        </is>
      </c>
      <c r="C34" s="6" t="inlineStr">
        <is>
          <t>Product</t>
        </is>
      </c>
      <c r="D34" s="6" t="inlineStr">
        <is>
          <t>Price / variants</t>
        </is>
      </c>
      <c r="E34" s="6" t="inlineStr">
        <is>
          <t>Stock</t>
        </is>
      </c>
      <c r="F34" s="6" t="inlineStr">
        <is>
          <t>Weight and size / other</t>
        </is>
      </c>
    </row>
    <row r="35" ht="55" customHeight="1">
      <c r="A35" s="4" t="inlineStr">
        <is>
          <t>P-01</t>
        </is>
      </c>
      <c r="B35" s="8" t="inlineStr">
        <is>
          <t>Seller 1</t>
        </is>
      </c>
      <c r="C35" s="8" t="inlineStr">
        <is>
          <t>Abaca Woven Tote Bag</t>
        </is>
      </c>
      <c r="D35" s="8" t="inlineStr">
        <is>
          <t>Color: Natural, Black × Size: S ₱199, M ₱249, L ₱299 (6 variants). SKU MCH-TOTE-&lt;COLOR&gt;-&lt;SIZE&gt;</t>
        </is>
      </c>
      <c r="E35" s="8" t="inlineStr">
        <is>
          <t>Natural-S 10, Natural-M 8, Natural-L 5, Black-S 10, Black-M 0, Black-L 3</t>
        </is>
      </c>
      <c r="F35" s="8" t="inlineStr">
        <is>
          <t>0.4 kg; 40 × 35 × 5 cm. Platform category: Women's Bags</t>
        </is>
      </c>
    </row>
    <row r="36" ht="29.5" customHeight="1">
      <c r="A36" s="4" t="inlineStr">
        <is>
          <t>P-02</t>
        </is>
      </c>
      <c r="B36" s="8" t="inlineStr">
        <is>
          <t>Seller 1</t>
        </is>
      </c>
      <c r="C36" s="8" t="inlineStr">
        <is>
          <t>Rattan Fruit Basket</t>
        </is>
      </c>
      <c r="D36" s="8" t="inlineStr">
        <is>
          <t>₱450.00 (no variants)</t>
        </is>
      </c>
      <c r="E36" s="8" t="inlineStr">
        <is>
          <t>20</t>
        </is>
      </c>
      <c r="F36" s="8" t="inlineStr">
        <is>
          <t>0.8 kg; 30 × 30 × 15 cm. Platform category: Home &amp; Living</t>
        </is>
      </c>
    </row>
    <row r="37" ht="29.5" customHeight="1">
      <c r="A37" s="4" t="inlineStr">
        <is>
          <t>P-03</t>
        </is>
      </c>
      <c r="B37" s="8" t="inlineStr">
        <is>
          <t>Seller 1</t>
        </is>
      </c>
      <c r="C37" s="8" t="inlineStr">
        <is>
          <t>Capiz Shell Lamp</t>
        </is>
      </c>
      <c r="D37" s="8" t="inlineStr">
        <is>
          <t>₱1,250.00</t>
        </is>
      </c>
      <c r="E37" s="8" t="inlineStr">
        <is>
          <t>1 (for the oversell case)</t>
        </is>
      </c>
      <c r="F37" s="8" t="inlineStr">
        <is>
          <t>1.5 kg; 30 × 30 × 40 cm</t>
        </is>
      </c>
    </row>
    <row r="38" ht="16.75" customHeight="1">
      <c r="A38" s="4" t="inlineStr">
        <is>
          <t>P-04</t>
        </is>
      </c>
      <c r="B38" s="8" t="inlineStr">
        <is>
          <t>Seller 1</t>
        </is>
      </c>
      <c r="C38" s="8" t="inlineStr">
        <is>
          <t>Banig Placemat Set of 4</t>
        </is>
      </c>
      <c r="D38" s="8" t="inlineStr">
        <is>
          <t>₱350.00</t>
        </is>
      </c>
      <c r="E38" s="8" t="inlineStr">
        <is>
          <t>0 (out of stock)</t>
        </is>
      </c>
      <c r="F38" s="8" t="inlineStr">
        <is>
          <t>0.5 kg</t>
        </is>
      </c>
    </row>
    <row r="39" ht="16.75" customHeight="1">
      <c r="A39" s="4" t="inlineStr">
        <is>
          <t>P-05</t>
        </is>
      </c>
      <c r="B39" s="8" t="inlineStr">
        <is>
          <t>Seller 2</t>
        </is>
      </c>
      <c r="C39" s="8" t="inlineStr">
        <is>
          <t>USB-C Fast Charger 20W</t>
        </is>
      </c>
      <c r="D39" s="8" t="inlineStr">
        <is>
          <t>₱399.00</t>
        </is>
      </c>
      <c r="E39" s="8" t="inlineStr">
        <is>
          <t>50</t>
        </is>
      </c>
      <c r="F39" s="8" t="inlineStr">
        <is>
          <t>0.2 kg; 10 × 8 × 5 cm</t>
        </is>
      </c>
    </row>
    <row r="40" ht="16.75" customHeight="1">
      <c r="A40" s="4" t="inlineStr">
        <is>
          <t>P-06</t>
        </is>
      </c>
      <c r="B40" s="8" t="inlineStr">
        <is>
          <t>Seller 2</t>
        </is>
      </c>
      <c r="C40" s="8" t="inlineStr">
        <is>
          <t>Wireless Earbuds X2</t>
        </is>
      </c>
      <c r="D40" s="8" t="inlineStr">
        <is>
          <t>Color: Black, White; ₱1,499.00 each</t>
        </is>
      </c>
      <c r="E40" s="8" t="inlineStr">
        <is>
          <t>Black 10, White 10</t>
        </is>
      </c>
      <c r="F40" s="8" t="inlineStr">
        <is>
          <t>0.3 kg</t>
        </is>
      </c>
    </row>
    <row r="41" ht="16.75" customHeight="1">
      <c r="A41" s="4" t="inlineStr">
        <is>
          <t>P-07</t>
        </is>
      </c>
      <c r="B41" s="8" t="inlineStr">
        <is>
          <t>Seller 2</t>
        </is>
      </c>
      <c r="C41" s="8" t="inlineStr">
        <is>
          <t>Power Bank 10000mAh</t>
        </is>
      </c>
      <c r="D41" s="8" t="inlineStr">
        <is>
          <t>₱899.00; per-buyer purchase limit 2</t>
        </is>
      </c>
      <c r="E41" s="8" t="inlineStr">
        <is>
          <t>5</t>
        </is>
      </c>
      <c r="F41" s="8" t="inlineStr">
        <is>
          <t>0.4 kg</t>
        </is>
      </c>
    </row>
    <row r="43">
      <c r="A43" s="3" t="inlineStr">
        <is>
          <t>Vouchers</t>
        </is>
      </c>
    </row>
    <row r="44">
      <c r="A44" s="6" t="inlineStr">
        <is>
          <t>Code</t>
        </is>
      </c>
      <c r="B44" s="6" t="inlineStr">
        <is>
          <t>Owner / funded by</t>
        </is>
      </c>
      <c r="C44" s="6" t="inlineStr">
        <is>
          <t>Type</t>
        </is>
      </c>
      <c r="D44" s="6" t="inlineStr">
        <is>
          <t>Rule</t>
        </is>
      </c>
      <c r="E44" s="6" t="inlineStr">
        <is>
          <t>Limits / validity</t>
        </is>
      </c>
      <c r="F44" s="6" t="inlineStr">
        <is>
          <t>Display</t>
        </is>
      </c>
    </row>
    <row r="45" ht="29.5" customHeight="1">
      <c r="A45" s="4" t="inlineStr">
        <is>
          <t>MCH50</t>
        </is>
      </c>
      <c r="B45" s="8" t="inlineStr">
        <is>
          <t>Seller 1 / seller</t>
        </is>
      </c>
      <c r="C45" s="8" t="inlineStr">
        <is>
          <t>Fixed ₱50 off</t>
        </is>
      </c>
      <c r="D45" s="8" t="inlineStr">
        <is>
          <t>Min spend ₱300; all Seller 1 products</t>
        </is>
      </c>
      <c r="E45" s="8" t="inlineStr">
        <is>
          <t>100 total, 1 per buyer; valid this month</t>
        </is>
      </c>
      <c r="F45" s="8" t="inlineStr">
        <is>
          <t>Claimable</t>
        </is>
      </c>
    </row>
    <row r="46" ht="29.5" customHeight="1">
      <c r="A46" s="4" t="inlineStr">
        <is>
          <t>MCH10</t>
        </is>
      </c>
      <c r="B46" s="8" t="inlineStr">
        <is>
          <t>Seller 1 / seller</t>
        </is>
      </c>
      <c r="C46" s="8" t="inlineStr">
        <is>
          <t>10% off, cap ₱100</t>
        </is>
      </c>
      <c r="D46" s="8" t="inlineStr">
        <is>
          <t>Min spend ₱500</t>
        </is>
      </c>
      <c r="E46" s="8" t="inlineStr">
        <is>
          <t>50 total, 1 per buyer; valid this month</t>
        </is>
      </c>
      <c r="F46" s="8" t="inlineStr">
        <is>
          <t>Claimable</t>
        </is>
      </c>
    </row>
    <row r="47" ht="16.75" customHeight="1">
      <c r="A47" s="4" t="inlineStr">
        <is>
          <t>RVSECRET</t>
        </is>
      </c>
      <c r="B47" s="8" t="inlineStr">
        <is>
          <t>Seller 2 / seller</t>
        </is>
      </c>
      <c r="C47" s="8" t="inlineStr">
        <is>
          <t>Fixed ₱100 off</t>
        </is>
      </c>
      <c r="D47" s="8" t="inlineStr">
        <is>
          <t>Min spend ₱1,000</t>
        </is>
      </c>
      <c r="E47" s="8" t="inlineStr">
        <is>
          <t>20 total, 1 per buyer</t>
        </is>
      </c>
      <c r="F47" s="8" t="inlineStr">
        <is>
          <t>Code-only (hidden)</t>
        </is>
      </c>
    </row>
    <row r="48" ht="16.75" customHeight="1">
      <c r="A48" s="4" t="inlineStr">
        <is>
          <t>MCHOLD</t>
        </is>
      </c>
      <c r="B48" s="8" t="inlineStr">
        <is>
          <t>Seller 1 / seller</t>
        </is>
      </c>
      <c r="C48" s="8" t="inlineStr">
        <is>
          <t>Fixed ₱30 off</t>
        </is>
      </c>
      <c r="D48" s="8" t="inlineStr">
        <is>
          <t>Min spend ₱200</t>
        </is>
      </c>
      <c r="E48" s="8" t="inlineStr">
        <is>
          <t>Expired yesterday</t>
        </is>
      </c>
      <c r="F48" s="8" t="inlineStr">
        <is>
          <t>Claimable</t>
        </is>
      </c>
    </row>
    <row r="49" ht="16.75" customHeight="1">
      <c r="A49" s="4" t="inlineStr">
        <is>
          <t>MCHSOON</t>
        </is>
      </c>
      <c r="B49" s="8" t="inlineStr">
        <is>
          <t>Seller 1 / seller</t>
        </is>
      </c>
      <c r="C49" s="8" t="inlineStr">
        <is>
          <t>Fixed ₱30 off</t>
        </is>
      </c>
      <c r="D49" s="8" t="inlineStr">
        <is>
          <t>Min spend ₱200</t>
        </is>
      </c>
      <c r="E49" s="8" t="inlineStr">
        <is>
          <t>Starts tomorrow</t>
        </is>
      </c>
      <c r="F49" s="8" t="inlineStr">
        <is>
          <t>Claimable</t>
        </is>
      </c>
    </row>
    <row r="50" ht="29.5" customHeight="1">
      <c r="A50" s="4" t="inlineStr">
        <is>
          <t>MCHMAX</t>
        </is>
      </c>
      <c r="B50" s="8" t="inlineStr">
        <is>
          <t>Seller 1 / seller</t>
        </is>
      </c>
      <c r="C50" s="8" t="inlineStr">
        <is>
          <t>Fixed ₱20 off</t>
        </is>
      </c>
      <c r="D50" s="8" t="inlineStr">
        <is>
          <t>Min spend ₱100</t>
        </is>
      </c>
      <c r="E50" s="8" t="inlineStr">
        <is>
          <t>Total usage limit 1, already used by Buyer 2</t>
        </is>
      </c>
      <c r="F50" s="8" t="inlineStr">
        <is>
          <t>Claimable</t>
        </is>
      </c>
    </row>
    <row r="51" ht="16.75" customHeight="1">
      <c r="A51" s="4" t="inlineStr">
        <is>
          <t>PLAT100</t>
        </is>
      </c>
      <c r="B51" s="8" t="inlineStr">
        <is>
          <t>Admin / platform</t>
        </is>
      </c>
      <c r="C51" s="8" t="inlineStr">
        <is>
          <t>Fixed ₱100 off</t>
        </is>
      </c>
      <c r="D51" s="8" t="inlineStr">
        <is>
          <t>Min spend ₱1,000 (whole order)</t>
        </is>
      </c>
      <c r="E51" s="8" t="inlineStr">
        <is>
          <t>1 per buyer</t>
        </is>
      </c>
      <c r="F51" s="8" t="inlineStr">
        <is>
          <t>Claimable</t>
        </is>
      </c>
    </row>
    <row r="52" ht="16.75" customHeight="1">
      <c r="A52" s="4" t="inlineStr">
        <is>
          <t>FREESHIP</t>
        </is>
      </c>
      <c r="B52" s="8" t="inlineStr">
        <is>
          <t>Admin / platform</t>
        </is>
      </c>
      <c r="C52" s="8" t="inlineStr">
        <is>
          <t>Shipping, up to ₱50 off</t>
        </is>
      </c>
      <c r="D52" s="8" t="inlineStr">
        <is>
          <t>Min spend ₱300</t>
        </is>
      </c>
      <c r="E52" s="8" t="inlineStr">
        <is>
          <t>1 per buyer</t>
        </is>
      </c>
      <c r="F52" s="8" t="inlineStr">
        <is>
          <t>Claimable</t>
        </is>
      </c>
    </row>
    <row r="54">
      <c r="A54" s="3" t="inlineStr">
        <is>
          <t>Shipping rate table (test rates)</t>
        </is>
      </c>
    </row>
    <row r="55">
      <c r="A55" s="6" t="inlineStr">
        <is>
          <t>Route</t>
        </is>
      </c>
      <c r="B55" s="6" t="inlineStr">
        <is>
          <t>First kg</t>
        </is>
      </c>
      <c r="C55" s="6" t="inlineStr">
        <is>
          <t>Each additional kg</t>
        </is>
      </c>
      <c r="D55" s="6" t="inlineStr">
        <is>
          <t>Example</t>
        </is>
      </c>
      <c r="E55" s="6" t="inlineStr"/>
      <c r="F55" s="6" t="inlineStr">
        <is>
          <t>Notes</t>
        </is>
      </c>
    </row>
    <row r="56" ht="16.75" customHeight="1">
      <c r="A56" s="4" t="inlineStr">
        <is>
          <t>Within NCR</t>
        </is>
      </c>
      <c r="B56" s="8" t="inlineStr">
        <is>
          <t>₱50.00</t>
        </is>
      </c>
      <c r="C56" s="8" t="inlineStr">
        <is>
          <t>₱15.00</t>
        </is>
      </c>
      <c r="D56" s="8" t="inlineStr">
        <is>
          <t>1.2 kg → 2 kg → ₱65.00</t>
        </is>
      </c>
      <c r="E56" s="8" t="inlineStr"/>
      <c r="F56" s="8" t="inlineStr">
        <is>
          <t>Seller 1 to ADDR-1 or ADDR-2</t>
        </is>
      </c>
    </row>
    <row r="57" ht="29.5" customHeight="1">
      <c r="A57" s="4" t="inlineStr">
        <is>
          <t>Visayas to NCR</t>
        </is>
      </c>
      <c r="B57" s="8" t="inlineStr">
        <is>
          <t>₱120.00</t>
        </is>
      </c>
      <c r="C57" s="8" t="inlineStr">
        <is>
          <t>₱40.00</t>
        </is>
      </c>
      <c r="D57" s="8" t="inlineStr">
        <is>
          <t>0.2 kg → 1 kg → ₱120.00</t>
        </is>
      </c>
      <c r="E57" s="8" t="inlineStr"/>
      <c r="F57" s="8" t="inlineStr">
        <is>
          <t>Seller 2 to ADDR-1</t>
        </is>
      </c>
    </row>
    <row r="58" ht="29.5" customHeight="1">
      <c r="A58" s="4" t="inlineStr">
        <is>
          <t>NCR to Visayas</t>
        </is>
      </c>
      <c r="B58" s="8" t="inlineStr">
        <is>
          <t>₱120.00</t>
        </is>
      </c>
      <c r="C58" s="8" t="inlineStr">
        <is>
          <t>₱40.00</t>
        </is>
      </c>
      <c r="D58" s="8" t="inlineStr">
        <is>
          <t>0.4 kg → 1 kg → ₱120.00</t>
        </is>
      </c>
      <c r="E58" s="8" t="inlineStr"/>
      <c r="F58" s="8" t="inlineStr">
        <is>
          <t>Seller 1 to ADDR-3</t>
        </is>
      </c>
    </row>
    <row r="59" ht="29.5" customHeight="1">
      <c r="A59" s="4" t="inlineStr">
        <is>
          <t>Within Visayas</t>
        </is>
      </c>
      <c r="B59" s="8" t="inlineStr">
        <is>
          <t>₱60.00</t>
        </is>
      </c>
      <c r="C59" s="8" t="inlineStr">
        <is>
          <t>₱20.00</t>
        </is>
      </c>
      <c r="D59" s="8" t="inlineStr"/>
      <c r="E59" s="8" t="inlineStr"/>
      <c r="F59" s="8" t="inlineStr">
        <is>
          <t>Seller 2 to ADDR-3</t>
        </is>
      </c>
    </row>
    <row r="61">
      <c r="A61" s="3" t="inlineStr">
        <is>
          <t>Worked checkout example (used in Buyer B7/B8, Seller S12 and Cross-cutting X3)</t>
        </is>
      </c>
    </row>
    <row r="62">
      <c r="A62" s="6" t="inlineStr">
        <is>
          <t>Line</t>
        </is>
      </c>
      <c r="B62" s="6" t="inlineStr">
        <is>
          <t>Item</t>
        </is>
      </c>
      <c r="C62" s="6" t="inlineStr">
        <is>
          <t>Amount</t>
        </is>
      </c>
      <c r="D62" s="6" t="inlineStr">
        <is>
          <t>How it is calculated</t>
        </is>
      </c>
      <c r="E62" s="6" t="inlineStr"/>
      <c r="F62" s="6" t="inlineStr"/>
    </row>
    <row r="63" ht="29.5" customHeight="1">
      <c r="A63" s="4" t="inlineStr">
        <is>
          <t>1</t>
        </is>
      </c>
      <c r="B63" s="8" t="inlineStr">
        <is>
          <t>Seller 1: Abaca Tote Natural-M × 1 + Rattan Basket × 1</t>
        </is>
      </c>
      <c r="C63" s="8" t="inlineStr">
        <is>
          <t>₱699.00</t>
        </is>
      </c>
      <c r="D63" s="8" t="inlineStr">
        <is>
          <t>249 + 450</t>
        </is>
      </c>
      <c r="E63" s="8" t="inlineStr"/>
      <c r="F63" s="8" t="inlineStr"/>
    </row>
    <row r="64" ht="16.75" customHeight="1">
      <c r="A64" s="4" t="inlineStr">
        <is>
          <t>2</t>
        </is>
      </c>
      <c r="B64" s="8" t="inlineStr">
        <is>
          <t>Seller 2: USB-C Charger × 1</t>
        </is>
      </c>
      <c r="C64" s="8" t="inlineStr">
        <is>
          <t>₱399.00</t>
        </is>
      </c>
      <c r="D64" s="8" t="inlineStr"/>
      <c r="E64" s="8" t="inlineStr"/>
      <c r="F64" s="8" t="inlineStr"/>
    </row>
    <row r="65" ht="16.75" customHeight="1">
      <c r="A65" s="4" t="inlineStr">
        <is>
          <t>3</t>
        </is>
      </c>
      <c r="B65" s="8" t="inlineStr">
        <is>
          <t>Merchandise subtotal</t>
        </is>
      </c>
      <c r="C65" s="8" t="inlineStr">
        <is>
          <t>₱1,098.00</t>
        </is>
      </c>
      <c r="D65" s="8" t="inlineStr">
        <is>
          <t>699 + 399</t>
        </is>
      </c>
      <c r="E65" s="8" t="inlineStr"/>
      <c r="F65" s="8" t="inlineStr"/>
    </row>
    <row r="66" ht="29.5" customHeight="1">
      <c r="A66" s="4" t="inlineStr">
        <is>
          <t>4</t>
        </is>
      </c>
      <c r="B66" s="8" t="inlineStr">
        <is>
          <t>Shipping, Seller 1 (1.2 kg, within NCR)</t>
        </is>
      </c>
      <c r="C66" s="8" t="inlineStr">
        <is>
          <t>₱65.00</t>
        </is>
      </c>
      <c r="D66" s="8" t="inlineStr">
        <is>
          <t>50 + 15</t>
        </is>
      </c>
      <c r="E66" s="8" t="inlineStr"/>
      <c r="F66" s="8" t="inlineStr"/>
    </row>
    <row r="67" ht="29.5" customHeight="1">
      <c r="A67" s="4" t="inlineStr">
        <is>
          <t>5</t>
        </is>
      </c>
      <c r="B67" s="8" t="inlineStr">
        <is>
          <t>Shipping, Seller 2 (0.2 kg, Visayas to NCR)</t>
        </is>
      </c>
      <c r="C67" s="8" t="inlineStr">
        <is>
          <t>₱120.00</t>
        </is>
      </c>
      <c r="D67" s="8" t="inlineStr"/>
      <c r="E67" s="8" t="inlineStr"/>
      <c r="F67" s="8" t="inlineStr"/>
    </row>
    <row r="68" ht="16.75" customHeight="1">
      <c r="A68" s="4" t="inlineStr">
        <is>
          <t>6</t>
        </is>
      </c>
      <c r="B68" s="8" t="inlineStr">
        <is>
          <t>Store voucher MCH50 (Seller 1)</t>
        </is>
      </c>
      <c r="C68" s="8" t="inlineStr">
        <is>
          <t>−₱50.00</t>
        </is>
      </c>
      <c r="D68" s="8" t="inlineStr">
        <is>
          <t>Seller 1 subtotal 699 ≥ 300</t>
        </is>
      </c>
      <c r="E68" s="8" t="inlineStr"/>
      <c r="F68" s="8" t="inlineStr"/>
    </row>
    <row r="69" ht="16.75" customHeight="1">
      <c r="A69" s="4" t="inlineStr">
        <is>
          <t>7</t>
        </is>
      </c>
      <c r="B69" s="8" t="inlineStr">
        <is>
          <t>Platform voucher PLAT100</t>
        </is>
      </c>
      <c r="C69" s="8" t="inlineStr">
        <is>
          <t>−₱100.00</t>
        </is>
      </c>
      <c r="D69" s="8" t="inlineStr">
        <is>
          <t>Order subtotal 1,098 ≥ 1,000</t>
        </is>
      </c>
      <c r="E69" s="8" t="inlineStr"/>
      <c r="F69" s="8" t="inlineStr"/>
    </row>
    <row r="70" ht="16.75" customHeight="1">
      <c r="A70" s="4" t="inlineStr">
        <is>
          <t>8</t>
        </is>
      </c>
      <c r="B70" s="8" t="inlineStr">
        <is>
          <t>Shipping voucher FREESHIP</t>
        </is>
      </c>
      <c r="C70" s="8" t="inlineStr">
        <is>
          <t>−₱50.00</t>
        </is>
      </c>
      <c r="D70" s="8" t="inlineStr">
        <is>
          <t>Capped at ₱50</t>
        </is>
      </c>
      <c r="E70" s="8" t="inlineStr"/>
      <c r="F70" s="8" t="inlineStr"/>
    </row>
    <row r="71" ht="16.75" customHeight="1">
      <c r="A71" s="4" t="inlineStr">
        <is>
          <t>9</t>
        </is>
      </c>
      <c r="B71" s="8" t="inlineStr">
        <is>
          <t>Total to pay</t>
        </is>
      </c>
      <c r="C71" s="8" t="inlineStr">
        <is>
          <t>₱1,083.00</t>
        </is>
      </c>
      <c r="D71" s="8" t="inlineStr">
        <is>
          <t>1,098 + 185 − 50 − 100 − 50</t>
        </is>
      </c>
      <c r="E71" s="8" t="inlineStr"/>
      <c r="F71" s="8" t="inlineStr"/>
    </row>
    <row r="72" ht="29.5" customHeight="1">
      <c r="A72" s="4" t="inlineStr">
        <is>
          <t>10</t>
        </is>
      </c>
      <c r="B72" s="8" t="inlineStr">
        <is>
          <t>Seller 1 net earnings for this order</t>
        </is>
      </c>
      <c r="C72" s="8" t="inlineStr">
        <is>
          <t>₱616.55</t>
        </is>
      </c>
      <c r="D72" s="8" t="inlineStr">
        <is>
          <t>(699 − 50) = 649 gross after seller vouchers; 5% commission = 32.45</t>
        </is>
      </c>
      <c r="E72" s="8" t="inlineStr"/>
      <c r="F72" s="8" t="inlineStr"/>
    </row>
    <row r="73" ht="29.5" customHeight="1">
      <c r="A73" s="4" t="inlineStr">
        <is>
          <t>11</t>
        </is>
      </c>
      <c r="B73" s="8" t="inlineStr">
        <is>
          <t>Seller 2 net earnings for this order</t>
        </is>
      </c>
      <c r="C73" s="8" t="inlineStr">
        <is>
          <t>₱379.05</t>
        </is>
      </c>
      <c r="D73" s="8" t="inlineStr">
        <is>
          <t>399 − 5% commission (19.95)</t>
        </is>
      </c>
      <c r="E73" s="8" t="inlineStr"/>
      <c r="F73" s="8" t="inlineStr"/>
    </row>
    <row r="75">
      <c r="A75" s="3" t="inlineStr">
        <is>
          <t>Other values</t>
        </is>
      </c>
    </row>
    <row r="76">
      <c r="A76" s="6" t="inlineStr">
        <is>
          <t>Item</t>
        </is>
      </c>
      <c r="B76" s="6" t="inlineStr">
        <is>
          <t>Value</t>
        </is>
      </c>
      <c r="C76" s="6" t="inlineStr"/>
      <c r="D76" s="6" t="inlineStr"/>
      <c r="E76" s="6" t="inlineStr"/>
      <c r="F76" s="6" t="inlineStr">
        <is>
          <t>Notes</t>
        </is>
      </c>
    </row>
    <row r="77" ht="29.5" customHeight="1">
      <c r="A77" s="4" t="inlineStr">
        <is>
          <t>Delivery OTP</t>
        </is>
      </c>
      <c r="B77" s="8" t="inlineStr">
        <is>
          <t>Shown in Buyer 1's order page when Out for Delivery</t>
        </is>
      </c>
      <c r="C77" s="8" t="inlineStr"/>
      <c r="D77" s="8" t="inlineStr"/>
      <c r="E77" s="8" t="inlineStr"/>
      <c r="F77" s="8" t="inlineStr">
        <is>
          <t>6 digits (A32)</t>
        </is>
      </c>
    </row>
    <row r="78" ht="42.25" customHeight="1">
      <c r="A78" s="4" t="inlineStr">
        <is>
          <t>Rider pay</t>
        </is>
      </c>
      <c r="B78" s="8" t="inlineStr">
        <is>
          <t>₱50.00 per delivery, ₱30.00 per pickup, ₱0.00 per failed attempt</t>
        </is>
      </c>
      <c r="C78" s="8" t="inlineStr"/>
      <c r="D78" s="8" t="inlineStr"/>
      <c r="E78" s="8" t="inlineStr"/>
      <c r="F78" s="8" t="inlineStr">
        <is>
          <t>A33</t>
        </is>
      </c>
    </row>
    <row r="79" ht="42.25" customHeight="1">
      <c r="A79" s="4" t="inlineStr">
        <is>
          <t>PLAT100 split (worked example)</t>
        </is>
      </c>
      <c r="B79" s="8" t="inlineStr">
        <is>
          <t>Seller 1 order ₱63.66; Seller 2 order ₱36.34</t>
        </is>
      </c>
      <c r="C79" s="8" t="inlineStr"/>
      <c r="D79" s="8" t="inlineStr"/>
      <c r="E79" s="8" t="inlineStr"/>
      <c r="F79" s="8" t="inlineStr">
        <is>
          <t>100 × 699/1,098 and 100 × 399/1,098 (A8)</t>
        </is>
      </c>
    </row>
    <row r="80" ht="29.5" customHeight="1">
      <c r="A80" s="4" t="inlineStr">
        <is>
          <t>Spare emails</t>
        </is>
      </c>
      <c r="B80" s="8" t="inlineStr">
        <is>
          <t>buyer.test01@example.com to buyer.test10@example.com</t>
        </is>
      </c>
      <c r="C80" s="8" t="inlineStr"/>
      <c r="D80" s="8" t="inlineStr"/>
      <c r="E80" s="8" t="inlineStr"/>
      <c r="F80" s="8" t="inlineStr">
        <is>
          <t>Same pattern for seller.test, logistics.test, rider.test</t>
        </is>
      </c>
    </row>
    <row r="81" ht="29.5" customHeight="1">
      <c r="A81" s="4" t="inlineStr">
        <is>
          <t>Spare mobile numbers</t>
        </is>
      </c>
      <c r="B81" s="8" t="inlineStr">
        <is>
          <t>09170000001 to 09170000020</t>
        </is>
      </c>
      <c r="C81" s="8" t="inlineStr"/>
      <c r="D81" s="8" t="inlineStr"/>
      <c r="E81" s="8" t="inlineStr"/>
      <c r="F81" s="8" t="inlineStr"/>
    </row>
    <row r="82" ht="42.25" customHeight="1">
      <c r="A82" s="4" t="inlineStr">
        <is>
          <t>Long text samples</t>
        </is>
      </c>
      <c r="B82" s="8" t="inlineStr">
        <is>
          <t>Generate with any 'lorem ipsum' tool to the exact character count</t>
        </is>
      </c>
      <c r="C82" s="8" t="inlineStr"/>
      <c r="D82" s="8" t="inlineStr"/>
      <c r="E82" s="8" t="inlineStr"/>
      <c r="F82" s="8" t="inlineStr">
        <is>
          <t>Check the count in a character counter before pasting</t>
        </is>
      </c>
    </row>
    <row r="83" ht="42.25" customHeight="1">
      <c r="A83" s="4" t="inlineStr">
        <is>
          <t>Script and injection strings</t>
        </is>
      </c>
      <c r="B83" s="8" t="inlineStr">
        <is>
          <t>&lt;script&gt;alert(1)&lt;/script&gt;
' OR '1'='1
"&gt;&lt;img src=x onerror=alert(1)&gt;</t>
        </is>
      </c>
      <c r="C83" s="8" t="inlineStr"/>
      <c r="D83" s="8" t="inlineStr"/>
      <c r="E83" s="8" t="inlineStr"/>
      <c r="F83" s="8" t="inlineStr">
        <is>
          <t>Must be shown as text and never run</t>
        </is>
      </c>
    </row>
  </sheetData>
  <mergeCells count="1">
    <mergeCell ref="A2: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55" customHeight="1">
      <c r="A2" s="7" t="inlineStr">
        <is>
          <t>LOG-DASH-001</t>
        </is>
      </c>
      <c r="B2" s="8" t="inlineStr">
        <is>
          <t>Operations Dashboard</t>
        </is>
      </c>
      <c r="C2" s="8" t="inlineStr">
        <is>
          <t>Counts match the records</t>
        </is>
      </c>
      <c r="D2" s="8" t="inlineStr">
        <is>
          <t>Use Case Testing</t>
        </is>
      </c>
      <c r="E2" s="8" t="inlineStr">
        <is>
          <t>High</t>
        </is>
      </c>
      <c r="F2" s="8" t="inlineStr">
        <is>
          <t>Logged in as Logistics 1. Shipments exist in Pending (Ready for Pickup/Unassigned), In Transit, Delivered and Failed.</t>
        </is>
      </c>
      <c r="G2" s="8" t="inlineStr">
        <is>
          <t>1. Open the dashboard and note each count.
2. Open the shipment list filtered by each status and count the rows.</t>
        </is>
      </c>
      <c r="H2" s="8" t="inlineStr"/>
      <c r="I2" s="8" t="inlineStr">
        <is>
          <t>Each dashboard count equals the filtered list exactly.</t>
        </is>
      </c>
      <c r="J2" s="8" t="inlineStr"/>
      <c r="K2" s="5" t="inlineStr">
        <is>
          <t xml:space="preserve">Pending pickup 2, In transit 2, Delivered 1, Failed/returns 1; each count equals its filtered shipment list exactly.</t>
        </is>
      </c>
      <c r="L2" s="5" t="inlineStr">
        <is>
          <t xml:space="preserve">Pass</t>
        </is>
      </c>
      <c r="M2" s="5" t="inlineStr">
        <is>
          <t xml:space="preserve">Verified by automated test LogisticsModulesSheetTest::test_LOG_DASH_001_counts_match_the_records (PHPUnit), passed on 2026-10-19, build a5a130d.</t>
        </is>
      </c>
    </row>
    <row r="3" ht="42.25" customHeight="1">
      <c r="A3" s="7" t="inlineStr">
        <is>
          <t>LOG-DASH-002</t>
        </is>
      </c>
      <c r="B3" s="8" t="inlineStr">
        <is>
          <t>Operations Dashboard</t>
        </is>
      </c>
      <c r="C3" s="8" t="inlineStr">
        <is>
          <t>Counts update after a status change</t>
        </is>
      </c>
      <c r="D3" s="8" t="inlineStr">
        <is>
          <t>State Transition</t>
        </is>
      </c>
      <c r="E3" s="8" t="inlineStr">
        <is>
          <t>Medium</t>
        </is>
      </c>
      <c r="F3" s="8" t="inlineStr">
        <is>
          <t>Logged in as Logistics 1.</t>
        </is>
      </c>
      <c r="G3" s="8" t="inlineStr">
        <is>
          <t>1. Note In Transit and Delivered.
2. Rider 1 marks a parcel Delivered.
3. Refresh the dashboard.</t>
        </is>
      </c>
      <c r="H3" s="8" t="inlineStr"/>
      <c r="I3" s="8" t="inlineStr">
        <is>
          <t>In Transit −1 and Delivered +1; other counts unchanged.</t>
        </is>
      </c>
      <c r="J3" s="8" t="inlineStr"/>
      <c r="K3" s="5" t="inlineStr">
        <is>
          <t xml:space="preserve">As expected. In Transit −1 and Delivered +1; other counts unchanged.</t>
        </is>
      </c>
      <c r="L3" s="5" t="inlineStr">
        <is>
          <t xml:space="preserve">Pass</t>
        </is>
      </c>
      <c r="M3" s="5" t="inlineStr">
        <is>
          <t xml:space="preserve">Verified by automated test LogisticsModulesSheetTest::test_LOG_DASH_002_counts_update_after_a_status_change (PHPUnit), passed on 2026-10-19, build a5a130d.</t>
        </is>
      </c>
    </row>
    <row r="4" ht="29.5" customHeight="1">
      <c r="A4" s="7" t="inlineStr">
        <is>
          <t>LOG-DASH-003</t>
        </is>
      </c>
      <c r="B4" s="8" t="inlineStr">
        <is>
          <t>Operations Dashboard</t>
        </is>
      </c>
      <c r="C4" s="8" t="inlineStr">
        <is>
          <t>Date filter</t>
        </is>
      </c>
      <c r="D4" s="8" t="inlineStr">
        <is>
          <t>Boundary Value Analysis</t>
        </is>
      </c>
      <c r="E4" s="8" t="inlineStr">
        <is>
          <t>Medium</t>
        </is>
      </c>
      <c r="F4" s="8" t="inlineStr">
        <is>
          <t>Logged in as Logistics 1.</t>
        </is>
      </c>
      <c r="G4" s="8" t="inlineStr">
        <is>
          <t>1. Filter today and a range that starts and ends on a shipment's date.</t>
        </is>
      </c>
      <c r="H4" s="8" t="inlineStr"/>
      <c r="I4" s="8" t="inlineStr">
        <is>
          <t>Shipments on the start and end dates are counted.</t>
        </is>
      </c>
      <c r="J4" s="8" t="inlineStr"/>
      <c r="K4" s="5" t="inlineStr">
        <is>
          <t xml:space="preserve">As expected. Shipments on the start and end dates are counted.</t>
        </is>
      </c>
      <c r="L4" s="5" t="inlineStr">
        <is>
          <t xml:space="preserve">Pass</t>
        </is>
      </c>
      <c r="M4" s="5" t="inlineStr">
        <is>
          <t xml:space="preserve">Verified by automated test LogisticsModulesSheetTest::test_LOG_DASH_003_date_filter (PHPUnit), passed on 2026-10-19, build a5a130d.</t>
        </is>
      </c>
    </row>
    <row r="5" ht="29.5" customHeight="1">
      <c r="A5" s="7" t="inlineStr">
        <is>
          <t>LOG-DASH-004</t>
        </is>
      </c>
      <c r="B5" s="8" t="inlineStr">
        <is>
          <t>Operations Dashboard</t>
        </is>
      </c>
      <c r="C5" s="8" t="inlineStr">
        <is>
          <t>Only own company's data</t>
        </is>
      </c>
      <c r="D5" s="8" t="inlineStr">
        <is>
          <t>Error Guessing</t>
        </is>
      </c>
      <c r="E5" s="8" t="inlineStr">
        <is>
          <t>High</t>
        </is>
      </c>
      <c r="F5" s="8" t="inlineStr">
        <is>
          <t>Logged in as Logistics 1. Logistics 2 has shipments.</t>
        </is>
      </c>
      <c r="G5" s="8" t="inlineStr">
        <is>
          <t>1. Compare the dashboard with Logistics 2's shipment count.</t>
        </is>
      </c>
      <c r="H5" s="8" t="inlineStr"/>
      <c r="I5" s="8" t="inlineStr">
        <is>
          <t>No Logistics 2 shipment is counted or listed.</t>
        </is>
      </c>
      <c r="J5" s="8" t="inlineStr">
        <is>
          <t>A22</t>
        </is>
      </c>
      <c r="K5" s="5" t="inlineStr">
        <is>
          <t xml:space="preserve">As expected. No Logistics 2 shipment is counted or listed.</t>
        </is>
      </c>
      <c r="L5" s="5" t="inlineStr">
        <is>
          <t xml:space="preserve">Pass</t>
        </is>
      </c>
      <c r="M5" s="5" t="inlineStr">
        <is>
          <t xml:space="preserve">Verified by automated test LogisticsModulesSheetTest::test_LOG_DASH_004_only_own_companys_data (PHPUnit), passed on 2026-10-19, build a5a130d.</t>
        </is>
      </c>
    </row>
  </sheetData>
  <autoFilter ref="A1:M5"/>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LOG-RIDER-001</t>
        </is>
      </c>
      <c r="B2" s="8" t="inlineStr">
        <is>
          <t>Rider Management</t>
        </is>
      </c>
      <c r="C2" s="8" t="inlineStr">
        <is>
          <t>Approve a rider</t>
        </is>
      </c>
      <c r="D2" s="8" t="inlineStr">
        <is>
          <t>State Transition</t>
        </is>
      </c>
      <c r="E2" s="8" t="inlineStr">
        <is>
          <t>High</t>
        </is>
      </c>
      <c r="F2" s="8" t="inlineStr">
        <is>
          <t>Logged in as Logistics 1. A rider (rider.test02@example.com) is pending verification.</t>
        </is>
      </c>
      <c r="G2" s="8" t="inlineStr">
        <is>
          <t>1. Open the record and both documents.
2. Click Approve.
3. Log in as that rider and go Online.</t>
        </is>
      </c>
      <c r="H2" s="8" t="inlineStr"/>
      <c r="I2" s="8" t="inlineStr">
        <is>
          <t>Status Active; the rider can go Online. The approval is in the audit log.</t>
        </is>
      </c>
      <c r="J2" s="8" t="inlineStr">
        <is>
          <t>A14, A35</t>
        </is>
      </c>
      <c r="K2" s="5" t="inlineStr">
        <is>
          <t xml:space="preserve">As expected. Status Active; the rider can go Online. The approval is in the audit log.</t>
        </is>
      </c>
      <c r="L2" s="5" t="inlineStr">
        <is>
          <t xml:space="preserve">Pass</t>
        </is>
      </c>
      <c r="M2" s="5" t="inlineStr">
        <is>
          <t xml:space="preserve">Verified by automated test LogisticsModulesSheetTest::test_LOG_RIDER_001_approve_a_rider (PHPUnit), passed on 2026-10-19, build a5a130d.</t>
        </is>
      </c>
    </row>
    <row r="3" ht="42.25" customHeight="1">
      <c r="A3" s="7" t="inlineStr">
        <is>
          <t>LOG-RIDER-002</t>
        </is>
      </c>
      <c r="B3" s="8" t="inlineStr">
        <is>
          <t>Rider Management</t>
        </is>
      </c>
      <c r="C3" s="8" t="inlineStr">
        <is>
          <t>Reject a rider with a reason</t>
        </is>
      </c>
      <c r="D3" s="8" t="inlineStr">
        <is>
          <t>State Transition</t>
        </is>
      </c>
      <c r="E3" s="8" t="inlineStr">
        <is>
          <t>Medium</t>
        </is>
      </c>
      <c r="F3" s="8" t="inlineStr">
        <is>
          <t>Logged in as Logistics 1.</t>
        </is>
      </c>
      <c r="G3" s="8" t="inlineStr">
        <is>
          <t>1. Click Reject with an empty reason.
2. Reject with the test reason.</t>
        </is>
      </c>
      <c r="H3" s="8" t="inlineStr">
        <is>
          <t>Reason: OR/CR photo is unreadable, please re-upload.</t>
        </is>
      </c>
      <c r="I3" s="8" t="inlineStr">
        <is>
          <t>The empty reason is blocked. After rejection the rider is notified with the exact reason and cannot go Online.</t>
        </is>
      </c>
      <c r="J3" s="8" t="inlineStr">
        <is>
          <t>A25</t>
        </is>
      </c>
      <c r="K3" s="5" t="inlineStr">
        <is>
          <t xml:space="preserve">The empty reason is blocked ('Please give the reason for rejecting (10 to 300 characters).'). After rejection the rider is notified with the exact reason and cannot go Online.</t>
        </is>
      </c>
      <c r="L3" s="5" t="inlineStr">
        <is>
          <t xml:space="preserve">Pass</t>
        </is>
      </c>
      <c r="M3" s="5" t="inlineStr">
        <is>
          <t xml:space="preserve">Verified by automated test LogisticsModulesSheetTest::test_LOG_RIDER_002_reject_a_rider_with_a_reason (PHPUnit), passed on 2026-10-19, build a5a130d.</t>
        </is>
      </c>
    </row>
    <row r="4" ht="55" customHeight="1">
      <c r="A4" s="7" t="inlineStr">
        <is>
          <t>LOG-RIDER-003</t>
        </is>
      </c>
      <c r="B4" s="8" t="inlineStr">
        <is>
          <t>Rider Management</t>
        </is>
      </c>
      <c r="C4" s="8" t="inlineStr">
        <is>
          <t>Suspend a rider with active jobs</t>
        </is>
      </c>
      <c r="D4" s="8" t="inlineStr">
        <is>
          <t>State Transition</t>
        </is>
      </c>
      <c r="E4" s="8" t="inlineStr">
        <is>
          <t>High</t>
        </is>
      </c>
      <c r="F4" s="8" t="inlineStr">
        <is>
          <t>Logged in as Logistics 1. Rider 2 is Online with 1 Assigned (not picked up) job and 1 Picked Up job.</t>
        </is>
      </c>
      <c r="G4" s="8" t="inlineStr">
        <is>
          <t>1. Suspend Rider 2 with a reason.
2. Check Rider 2's app, the Unassigned queue and the audit log.</t>
        </is>
      </c>
      <c r="H4" s="8" t="inlineStr">
        <is>
          <t>Reason: Repeated late deliveries this week.</t>
        </is>
      </c>
      <c r="I4" s="8" t="inlineStr">
        <is>
          <t>Rider 2 goes Offline and cannot go Online. The Assigned job moves to the Unassigned queue; the Picked Up job stays with Rider 2. The suspension is logged.</t>
        </is>
      </c>
      <c r="J4" s="8" t="inlineStr">
        <is>
          <t>A34, A35</t>
        </is>
      </c>
      <c r="K4" s="5" t="inlineStr">
        <is>
          <t xml:space="preserve">Rider 2 is Suspended and Offline and cannot go Online. The assigned (not picked up) pickup moved to the Unassigned queue; the Picked Up job stays with Rider 2. The suspension (with its reason) is in the audit log.</t>
        </is>
      </c>
      <c r="L4" s="5" t="inlineStr">
        <is>
          <t xml:space="preserve">Pass</t>
        </is>
      </c>
      <c r="M4" s="5" t="inlineStr">
        <is>
          <t xml:space="preserve">Verified by automated test LogisticsModulesSheetTest::test_LOG_RIDER_003_suspend_a_rider_with_active_jobs (PHPUnit), passed on 2026-10-19, build a5a130d.</t>
        </is>
      </c>
    </row>
    <row r="5" ht="29.5" customHeight="1">
      <c r="A5" s="7" t="inlineStr">
        <is>
          <t>LOG-RIDER-004</t>
        </is>
      </c>
      <c r="B5" s="8" t="inlineStr">
        <is>
          <t>Rider Management</t>
        </is>
      </c>
      <c r="C5" s="8" t="inlineStr">
        <is>
          <t>Suspend without a reason</t>
        </is>
      </c>
      <c r="D5" s="8" t="inlineStr">
        <is>
          <t>Equivalence Partitioning</t>
        </is>
      </c>
      <c r="E5" s="8" t="inlineStr">
        <is>
          <t>Medium</t>
        </is>
      </c>
      <c r="F5" s="8" t="inlineStr">
        <is>
          <t>Logged in as Logistics 1.</t>
        </is>
      </c>
      <c r="G5" s="8" t="inlineStr">
        <is>
          <t>1. Click Suspend with an empty or 9-character reason.</t>
        </is>
      </c>
      <c r="H5" s="8" t="inlineStr"/>
      <c r="I5" s="8" t="inlineStr">
        <is>
          <t>Blocked; rider unchanged.</t>
        </is>
      </c>
      <c r="J5" s="8" t="inlineStr">
        <is>
          <t>A25</t>
        </is>
      </c>
      <c r="K5" s="5" t="inlineStr">
        <is>
          <t xml:space="preserve">Blocked with 'Please give a reason of 10 to 300 characters.'; the rider stays Active.</t>
        </is>
      </c>
      <c r="L5" s="5" t="inlineStr">
        <is>
          <t xml:space="preserve">Pass</t>
        </is>
      </c>
      <c r="M5" s="5" t="inlineStr">
        <is>
          <t xml:space="preserve">Verified by automated test LogisticsModulesSheetTest::test_LOG_RIDER_004_suspend_without_a_reason (PHPUnit), passed on 2026-10-19, build a5a130d.</t>
        </is>
      </c>
    </row>
    <row r="6" ht="29.5" customHeight="1">
      <c r="A6" s="7" t="inlineStr">
        <is>
          <t>LOG-RIDER-005</t>
        </is>
      </c>
      <c r="B6" s="8" t="inlineStr">
        <is>
          <t>Rider Management</t>
        </is>
      </c>
      <c r="C6" s="8" t="inlineStr">
        <is>
          <t>Reactivate a rider</t>
        </is>
      </c>
      <c r="D6" s="8" t="inlineStr">
        <is>
          <t>State Transition</t>
        </is>
      </c>
      <c r="E6" s="8" t="inlineStr">
        <is>
          <t>Medium</t>
        </is>
      </c>
      <c r="F6" s="8" t="inlineStr">
        <is>
          <t>Rider 3 is Suspended.</t>
        </is>
      </c>
      <c r="G6" s="8" t="inlineStr">
        <is>
          <t>1. Reactivate Rider 3.
2. Log in as Rider 3 and go Online.</t>
        </is>
      </c>
      <c r="H6" s="8" t="inlineStr"/>
      <c r="I6" s="8" t="inlineStr">
        <is>
          <t>Rider 3 is Active and can go Online.</t>
        </is>
      </c>
      <c r="J6" s="8" t="inlineStr">
        <is>
          <t>A35</t>
        </is>
      </c>
      <c r="K6" s="5" t="inlineStr">
        <is>
          <t xml:space="preserve">As expected. Rider 3 is Active and can go Online.</t>
        </is>
      </c>
      <c r="L6" s="5" t="inlineStr">
        <is>
          <t xml:space="preserve">Pass</t>
        </is>
      </c>
      <c r="M6" s="5" t="inlineStr">
        <is>
          <t xml:space="preserve">Verified by automated test LogisticsModulesSheetTest::test_LOG_RIDER_005_reactivate_a_rider (PHPUnit), passed on 2026-10-19, build a5a130d.</t>
        </is>
      </c>
    </row>
    <row r="7" ht="42.25" customHeight="1">
      <c r="A7" s="7" t="inlineStr">
        <is>
          <t>LOG-RIDER-006</t>
        </is>
      </c>
      <c r="B7" s="8" t="inlineStr">
        <is>
          <t>Rider Management</t>
        </is>
      </c>
      <c r="C7" s="8" t="inlineStr">
        <is>
          <t>Rider status and workload</t>
        </is>
      </c>
      <c r="D7" s="8" t="inlineStr">
        <is>
          <t>Use Case Testing</t>
        </is>
      </c>
      <c r="E7" s="8" t="inlineStr">
        <is>
          <t>Medium</t>
        </is>
      </c>
      <c r="F7" s="8" t="inlineStr">
        <is>
          <t>Logged in as Logistics 1.</t>
        </is>
      </c>
      <c r="G7" s="8" t="inlineStr">
        <is>
          <t>1. Open the rider list.</t>
        </is>
      </c>
      <c r="H7" s="8" t="inlineStr"/>
      <c r="I7" s="8" t="inlineStr">
        <is>
          <t>Each rider shows Online/Offline, active jobs (0–3) and today's completed deliveries, matching their apps.</t>
        </is>
      </c>
      <c r="J7" s="8" t="inlineStr"/>
      <c r="K7" s="5" t="inlineStr">
        <is>
          <t xml:space="preserve">As expected. Each rider shows Online/Offline, active jobs (0–3) and today's completed deliveries, matching their apps.</t>
        </is>
      </c>
      <c r="L7" s="5" t="inlineStr">
        <is>
          <t xml:space="preserve">Pass</t>
        </is>
      </c>
      <c r="M7" s="5" t="inlineStr">
        <is>
          <t xml:space="preserve">Verified by automated test LogisticsModulesSheetTest::test_LOG_RIDER_006_rider_status_and_workload (PHPUnit), passed on 2026-10-19, build a5a130d.</t>
        </is>
      </c>
    </row>
    <row r="8" ht="42.25" customHeight="1">
      <c r="A8" s="7" t="inlineStr">
        <is>
          <t>LOG-RIDER-007</t>
        </is>
      </c>
      <c r="B8" s="8" t="inlineStr">
        <is>
          <t>Rider Management</t>
        </is>
      </c>
      <c r="C8" s="8" t="inlineStr">
        <is>
          <t>Cannot manage another company's rider</t>
        </is>
      </c>
      <c r="D8" s="8" t="inlineStr">
        <is>
          <t>Error Guessing</t>
        </is>
      </c>
      <c r="E8" s="8" t="inlineStr">
        <is>
          <t>High</t>
        </is>
      </c>
      <c r="F8" s="8" t="inlineStr">
        <is>
          <t>Logged in as Logistics 2.</t>
        </is>
      </c>
      <c r="G8" s="8" t="inlineStr">
        <is>
          <t>1. Open Rider 1's record by URL or request.
2. Send a suspend request for Rider 1.</t>
        </is>
      </c>
      <c r="H8" s="8" t="inlineStr"/>
      <c r="I8" s="8" t="inlineStr">
        <is>
          <t>Both are denied. Rider 1 is unchanged.</t>
        </is>
      </c>
      <c r="J8" s="8" t="inlineStr">
        <is>
          <t>A22</t>
        </is>
      </c>
      <c r="K8" s="5" t="inlineStr">
        <is>
          <t xml:space="preserve">Opening Rider 1's document is 403; the suspend request is refused with 'This rider belongs to another logistics company.' Rider 1 is unchanged.</t>
        </is>
      </c>
      <c r="L8" s="5" t="inlineStr">
        <is>
          <t xml:space="preserve">Pass</t>
        </is>
      </c>
      <c r="M8" s="5" t="inlineStr">
        <is>
          <t xml:space="preserve">Verified by automated test LogisticsModulesSheetTest::test_LOG_RIDER_007_cannot_manage_another_companys_rider (PHPUnit), passed on 2026-10-19, build a5a130d.</t>
        </is>
      </c>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67.75" customHeight="1">
      <c r="A2" s="7" t="inlineStr">
        <is>
          <t>LOG-DISP-001</t>
        </is>
      </c>
      <c r="B2" s="8" t="inlineStr">
        <is>
          <t>Dispatch &amp; Assignment</t>
        </is>
      </c>
      <c r="C2" s="8" t="inlineStr">
        <is>
          <t>Auto-assign to the nearest eligible rider</t>
        </is>
      </c>
      <c r="D2" s="8" t="inlineStr">
        <is>
          <t>Use Case Testing</t>
        </is>
      </c>
      <c r="E2" s="8" t="inlineStr">
        <is>
          <t>High</t>
        </is>
      </c>
      <c r="F2" s="8" t="inlineStr">
        <is>
          <t>Logged in as Logistics 1. Rider 1 (near Seller 1) and Rider 2 (farther) are Online with 0 jobs. A parcel is Ready for Pickup.</t>
        </is>
      </c>
      <c r="G2" s="8" t="inlineStr">
        <is>
          <t>1. Run auto-assign.</t>
        </is>
      </c>
      <c r="H2" s="8" t="inlineStr"/>
      <c r="I2" s="8" t="inlineStr">
        <is>
          <t>The offer goes to Rider 1 first.</t>
        </is>
      </c>
      <c r="J2" s="8" t="inlineStr">
        <is>
          <t>A34</t>
        </is>
      </c>
      <c r="K2" s="5" t="inlineStr">
        <is>
          <t xml:space="preserve">As expected. The offer goes to Rider 1 first.</t>
        </is>
      </c>
      <c r="L2" s="5" t="inlineStr">
        <is>
          <t xml:space="preserve">Pass</t>
        </is>
      </c>
      <c r="M2" s="5" t="inlineStr">
        <is>
          <t xml:space="preserve">Verified by automated test LogisticsModulesSheetTest::test_LOG_DISP_001_auto_assign_to_the_nearest_eligible_rider (PHPUnit), passed on 2026-10-19, build a5a130d.</t>
        </is>
      </c>
    </row>
    <row r="3" ht="29.5" customHeight="1">
      <c r="A3" s="7" t="inlineStr">
        <is>
          <t>LOG-DISP-002</t>
        </is>
      </c>
      <c r="B3" s="8" t="inlineStr">
        <is>
          <t>Dispatch &amp; Assignment</t>
        </is>
      </c>
      <c r="C3" s="8" t="inlineStr">
        <is>
          <t>Manual assign</t>
        </is>
      </c>
      <c r="D3" s="8" t="inlineStr">
        <is>
          <t>Use Case Testing</t>
        </is>
      </c>
      <c r="E3" s="8" t="inlineStr">
        <is>
          <t>High</t>
        </is>
      </c>
      <c r="F3" s="8" t="inlineStr">
        <is>
          <t>Logged in as Logistics 1.</t>
        </is>
      </c>
      <c r="G3" s="8" t="inlineStr">
        <is>
          <t>1. Assign the parcel to Rider 2 manually.</t>
        </is>
      </c>
      <c r="H3" s="8" t="inlineStr"/>
      <c r="I3" s="8" t="inlineStr">
        <is>
          <t>Rider 2 receives it; status Assigned; the buyer timeline shows the assignment.</t>
        </is>
      </c>
      <c r="J3" s="8" t="inlineStr">
        <is>
          <t>A10</t>
        </is>
      </c>
      <c r="K3" s="5" t="inlineStr">
        <is>
          <t xml:space="preserve">As expected. Rider 2 receives it; status Assigned; the buyer timeline shows the assignment.</t>
        </is>
      </c>
      <c r="L3" s="5" t="inlineStr">
        <is>
          <t xml:space="preserve">Pass</t>
        </is>
      </c>
      <c r="M3" s="5" t="inlineStr">
        <is>
          <t xml:space="preserve">Verified by automated test LogisticsModulesSheetTest::test_LOG_DISP_002_manual_assign (PHPUnit), passed on 2026-10-19, build a5a130d.</t>
        </is>
      </c>
    </row>
    <row r="4" ht="42.25" customHeight="1">
      <c r="A4" s="7" t="inlineStr">
        <is>
          <t>LOG-DISP-003</t>
        </is>
      </c>
      <c r="B4" s="8" t="inlineStr">
        <is>
          <t>Dispatch &amp; Assignment</t>
        </is>
      </c>
      <c r="C4" s="8" t="inlineStr">
        <is>
          <t>Offline or suspended rider not assignable</t>
        </is>
      </c>
      <c r="D4" s="8" t="inlineStr">
        <is>
          <t>Equivalence Partitioning</t>
        </is>
      </c>
      <c r="E4" s="8" t="inlineStr">
        <is>
          <t>High</t>
        </is>
      </c>
      <c r="F4" s="8" t="inlineStr">
        <is>
          <t>Logged in as Logistics 1. Rider 1 is Offline; Rider 3 is Suspended.</t>
        </is>
      </c>
      <c r="G4" s="8" t="inlineStr">
        <is>
          <t>1. Open Manual Assign.
2. Send an assign request for Rider 3 directly.</t>
        </is>
      </c>
      <c r="H4" s="8" t="inlineStr"/>
      <c r="I4" s="8" t="inlineStr">
        <is>
          <t>Neither rider is listed. The direct request is rejected.</t>
        </is>
      </c>
      <c r="J4" s="8" t="inlineStr">
        <is>
          <t>A14</t>
        </is>
      </c>
      <c r="K4" s="5" t="inlineStr">
        <is>
          <t xml:space="preserve">Neither rider is listed in Manual Assign. Direct requests are refused: 'Ramon Cruz is not an active rider.' / 'Pedro Jose Garcia is offline.'</t>
        </is>
      </c>
      <c r="L4" s="5" t="inlineStr">
        <is>
          <t xml:space="preserve">Pass</t>
        </is>
      </c>
      <c r="M4" s="5" t="inlineStr">
        <is>
          <t xml:space="preserve">Verified by automated test LogisticsModulesSheetTest::test_LOG_DISP_003_offline_or_suspended_rider_not_assignable (PHPUnit), passed on 2026-10-19, build a5a130d.</t>
        </is>
      </c>
    </row>
    <row r="5" ht="29.5" customHeight="1">
      <c r="A5" s="7" t="inlineStr">
        <is>
          <t>LOG-DISP-004</t>
        </is>
      </c>
      <c r="B5" s="8" t="inlineStr">
        <is>
          <t>Dispatch &amp; Assignment</t>
        </is>
      </c>
      <c r="C5" s="8" t="inlineStr">
        <is>
          <t>Rider at the job limit</t>
        </is>
      </c>
      <c r="D5" s="8" t="inlineStr">
        <is>
          <t>Boundary Value Analysis</t>
        </is>
      </c>
      <c r="E5" s="8" t="inlineStr">
        <is>
          <t>Medium</t>
        </is>
      </c>
      <c r="F5" s="8" t="inlineStr">
        <is>
          <t>Logged in as Logistics 1. Rider 2 has 3 active jobs.</t>
        </is>
      </c>
      <c r="G5" s="8" t="inlineStr">
        <is>
          <t>1. Try to assign a 4th.</t>
        </is>
      </c>
      <c r="H5" s="8" t="inlineStr"/>
      <c r="I5" s="8" t="inlineStr">
        <is>
          <t>Blocked with a limit message.</t>
        </is>
      </c>
      <c r="J5" s="8" t="inlineStr">
        <is>
          <t>A14</t>
        </is>
      </c>
      <c r="K5" s="5" t="inlineStr">
        <is>
          <t xml:space="preserve">Blocked with 'Mark Anthony Bautista already has 3 active jobs (the limit).'</t>
        </is>
      </c>
      <c r="L5" s="5" t="inlineStr">
        <is>
          <t xml:space="preserve">Pass</t>
        </is>
      </c>
      <c r="M5" s="5" t="inlineStr">
        <is>
          <t xml:space="preserve">Verified by automated test LogisticsModulesSheetTest::test_LOG_DISP_004_rider_at_the_job_limit (PHPUnit), passed on 2026-10-19, build a5a130d.</t>
        </is>
      </c>
    </row>
    <row r="6" ht="29.5" customHeight="1">
      <c r="A6" s="7" t="inlineStr">
        <is>
          <t>LOG-DISP-005</t>
        </is>
      </c>
      <c r="B6" s="8" t="inlineStr">
        <is>
          <t>Dispatch &amp; Assignment</t>
        </is>
      </c>
      <c r="C6" s="8" t="inlineStr">
        <is>
          <t>Reassign before pickup</t>
        </is>
      </c>
      <c r="D6" s="8" t="inlineStr">
        <is>
          <t>State Transition</t>
        </is>
      </c>
      <c r="E6" s="8" t="inlineStr">
        <is>
          <t>High</t>
        </is>
      </c>
      <c r="F6" s="8" t="inlineStr">
        <is>
          <t>Logged in as Logistics 1. Parcel Assigned to Rider 1.</t>
        </is>
      </c>
      <c r="G6" s="8" t="inlineStr">
        <is>
          <t>1. Reassign to Rider 2.</t>
        </is>
      </c>
      <c r="H6" s="8" t="inlineStr"/>
      <c r="I6" s="8" t="inlineStr">
        <is>
          <t>Rider 1 loses the job immediately; Rider 2 has it. The timeline shows both events.</t>
        </is>
      </c>
      <c r="J6" s="8" t="inlineStr">
        <is>
          <t>A34</t>
        </is>
      </c>
      <c r="K6" s="5" t="inlineStr">
        <is>
          <t xml:space="preserve">As expected. Rider 1 loses the job immediately; Rider 2 has it. The timeline shows both events.</t>
        </is>
      </c>
      <c r="L6" s="5" t="inlineStr">
        <is>
          <t xml:space="preserve">Pass</t>
        </is>
      </c>
      <c r="M6" s="5" t="inlineStr">
        <is>
          <t xml:space="preserve">Verified by automated test LogisticsModulesSheetTest::test_LOG_DISP_005_reassign_before_pickup (PHPUnit), passed on 2026-10-19, build a5a130d.</t>
        </is>
      </c>
    </row>
    <row r="7" ht="29.5" customHeight="1">
      <c r="A7" s="7" t="inlineStr">
        <is>
          <t>LOG-DISP-006</t>
        </is>
      </c>
      <c r="B7" s="8" t="inlineStr">
        <is>
          <t>Dispatch &amp; Assignment</t>
        </is>
      </c>
      <c r="C7" s="8" t="inlineStr">
        <is>
          <t>No reassign after pickup</t>
        </is>
      </c>
      <c r="D7" s="8" t="inlineStr">
        <is>
          <t>State Transition</t>
        </is>
      </c>
      <c r="E7" s="8" t="inlineStr">
        <is>
          <t>High</t>
        </is>
      </c>
      <c r="F7" s="8" t="inlineStr">
        <is>
          <t>Logged in as Logistics 1. Parcel Picked Up by Rider 1.</t>
        </is>
      </c>
      <c r="G7" s="8" t="inlineStr">
        <is>
          <t>1. Look for Reassign.
2. Send the request directly.</t>
        </is>
      </c>
      <c r="H7" s="8" t="inlineStr"/>
      <c r="I7" s="8" t="inlineStr">
        <is>
          <t>Not available; the request is rejected.</t>
        </is>
      </c>
      <c r="J7" s="8" t="inlineStr">
        <is>
          <t>A34</t>
        </is>
      </c>
      <c r="K7" s="5" t="inlineStr">
        <is>
          <t xml:space="preserve">No Reassign is offered; the request is refused: 'This parcel was already picked up, so it can no longer be reassigned.'</t>
        </is>
      </c>
      <c r="L7" s="5" t="inlineStr">
        <is>
          <t xml:space="preserve">Pass</t>
        </is>
      </c>
      <c r="M7" s="5" t="inlineStr">
        <is>
          <t xml:space="preserve">Verified by automated test LogisticsModulesSheetTest::test_LOG_DISP_006_no_reassign_after_pickup (PHPUnit), passed on 2026-10-19, build a5a130d.</t>
        </is>
      </c>
    </row>
    <row r="8" ht="42.25" customHeight="1">
      <c r="A8" s="7" t="inlineStr">
        <is>
          <t>LOG-DISP-007</t>
        </is>
      </c>
      <c r="B8" s="8" t="inlineStr">
        <is>
          <t>Dispatch &amp; Assignment</t>
        </is>
      </c>
      <c r="C8" s="8" t="inlineStr">
        <is>
          <t>Bulk assignment over the limit</t>
        </is>
      </c>
      <c r="D8" s="8" t="inlineStr">
        <is>
          <t>Boundary Value Analysis</t>
        </is>
      </c>
      <c r="E8" s="8" t="inlineStr">
        <is>
          <t>Medium</t>
        </is>
      </c>
      <c r="F8" s="8" t="inlineStr">
        <is>
          <t>Logged in as Logistics 1. 5 parcels are Ready for Pickup; Rider 2 has 0 jobs.</t>
        </is>
      </c>
      <c r="G8" s="8" t="inlineStr">
        <is>
          <t>1. Select all 5 and assign to Rider 2.</t>
        </is>
      </c>
      <c r="H8" s="8" t="inlineStr"/>
      <c r="I8" s="8" t="inlineStr">
        <is>
          <t>3 are assigned and 2 are reported as skipped because of the 3-job limit. The 2 stay Unassigned.</t>
        </is>
      </c>
      <c r="J8" s="8" t="inlineStr">
        <is>
          <t>A14</t>
        </is>
      </c>
      <c r="K8" s="5" t="inlineStr">
        <is>
          <t xml:space="preserve">3 are assigned and 2 are reported as skipped (3-job limit); the 2 stay Ready for Pickup.</t>
        </is>
      </c>
      <c r="L8" s="5" t="inlineStr">
        <is>
          <t xml:space="preserve">Pass</t>
        </is>
      </c>
      <c r="M8" s="5" t="inlineStr">
        <is>
          <t xml:space="preserve">Verified by automated test LogisticsModulesSheetTest::test_LOG_DISP_007_bulk_assignment_over_the_limit (PHPUnit), passed on 2026-10-19, build a5a130d.</t>
        </is>
      </c>
    </row>
    <row r="9" ht="29.5" customHeight="1">
      <c r="A9" s="7" t="inlineStr">
        <is>
          <t>LOG-DISP-008</t>
        </is>
      </c>
      <c r="B9" s="8" t="inlineStr">
        <is>
          <t>Dispatch &amp; Assignment</t>
        </is>
      </c>
      <c r="C9" s="8" t="inlineStr">
        <is>
          <t>Assign a parcel that is not ready</t>
        </is>
      </c>
      <c r="D9" s="8" t="inlineStr">
        <is>
          <t>Error Guessing</t>
        </is>
      </c>
      <c r="E9" s="8" t="inlineStr">
        <is>
          <t>Medium</t>
        </is>
      </c>
      <c r="F9" s="8" t="inlineStr">
        <is>
          <t>Logged in as Logistics 1. An order is only Packed.</t>
        </is>
      </c>
      <c r="G9" s="8" t="inlineStr">
        <is>
          <t>1. Look for it in the dispatch queue.
2. Send an assign request directly.</t>
        </is>
      </c>
      <c r="H9" s="8" t="inlineStr"/>
      <c r="I9" s="8" t="inlineStr">
        <is>
          <t>It is not in the queue and the request is rejected.</t>
        </is>
      </c>
      <c r="J9" s="8" t="inlineStr">
        <is>
          <t>A10</t>
        </is>
      </c>
      <c r="K9" s="5" t="inlineStr">
        <is>
          <t xml:space="preserve">It is not in the dispatch queue; the request is refused: 'This parcel is not ready for pickup, so it can't be assigned.'</t>
        </is>
      </c>
      <c r="L9" s="5" t="inlineStr">
        <is>
          <t xml:space="preserve">Pass</t>
        </is>
      </c>
      <c r="M9" s="5" t="inlineStr">
        <is>
          <t xml:space="preserve">Verified by automated test LogisticsModulesSheetTest::test_LOG_DISP_008_assign_a_parcel_that_is_not_ready (PHPUnit), passed on 2026-10-19, build a5a130d.</t>
        </is>
      </c>
    </row>
  </sheetData>
  <autoFilter ref="A1:M9"/>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LOG-HUB-001</t>
        </is>
      </c>
      <c r="B2" s="8" t="inlineStr">
        <is>
          <t>Hub &amp; Warehouse Operations</t>
        </is>
      </c>
      <c r="C2" s="8" t="inlineStr">
        <is>
          <t>Inbound receiving by scan</t>
        </is>
      </c>
      <c r="D2" s="8" t="inlineStr">
        <is>
          <t>State Transition</t>
        </is>
      </c>
      <c r="E2" s="8" t="inlineStr">
        <is>
          <t>High</t>
        </is>
      </c>
      <c r="F2" s="8" t="inlineStr">
        <is>
          <t>Logged in as Logistics 1. Rider 1 brings a Picked Up parcel to the hub.</t>
        </is>
      </c>
      <c r="G2" s="8" t="inlineStr">
        <is>
          <t>1. Scan it at Inbound.
2. Check Buyer 1's timeline.</t>
        </is>
      </c>
      <c r="H2" s="8" t="inlineStr"/>
      <c r="I2" s="8" t="inlineStr">
        <is>
          <t>Status At Hub with the scan time, in Logistics and Buyer views.</t>
        </is>
      </c>
      <c r="J2" s="8" t="inlineStr">
        <is>
          <t>A10</t>
        </is>
      </c>
      <c r="K2" s="5" t="inlineStr">
        <is>
          <t xml:space="preserve">Status At Sorting Center (= At Hub, A10) with the scan time, in Logistics and Buyer views.</t>
        </is>
      </c>
      <c r="L2" s="5" t="inlineStr">
        <is>
          <t xml:space="preserve">Pass</t>
        </is>
      </c>
      <c r="M2" s="5" t="inlineStr">
        <is>
          <t xml:space="preserve">Status name per BoomBuy rule A10. Verified by automated test LogisticsModulesSheetTest::test_LOG_HUB_001_inbound_receiving_by_scan (PHPUnit), passed on 2026-10-19, build a5a130d.</t>
        </is>
      </c>
    </row>
    <row r="3" ht="29.5" customHeight="1">
      <c r="A3" s="7" t="inlineStr">
        <is>
          <t>LOG-HUB-002</t>
        </is>
      </c>
      <c r="B3" s="8" t="inlineStr">
        <is>
          <t>Hub &amp; Warehouse Operations</t>
        </is>
      </c>
      <c r="C3" s="8" t="inlineStr">
        <is>
          <t>Sort by zone</t>
        </is>
      </c>
      <c r="D3" s="8" t="inlineStr">
        <is>
          <t>Use Case Testing</t>
        </is>
      </c>
      <c r="E3" s="8" t="inlineStr">
        <is>
          <t>Medium</t>
        </is>
      </c>
      <c r="F3" s="8" t="inlineStr">
        <is>
          <t>Logged in as Logistics 1.</t>
        </is>
      </c>
      <c r="G3" s="8" t="inlineStr">
        <is>
          <t>1. Sort the parcel.</t>
        </is>
      </c>
      <c r="H3" s="8" t="inlineStr">
        <is>
          <t>ADDR-1 → NCR zone</t>
        </is>
      </c>
      <c r="I3" s="8" t="inlineStr">
        <is>
          <t>The parcel is placed in the NCR zone list only.</t>
        </is>
      </c>
      <c r="J3" s="8" t="inlineStr"/>
      <c r="K3" s="5" t="inlineStr">
        <is>
          <t xml:space="preserve">As expected. The parcel is placed in the NCR zone list only.</t>
        </is>
      </c>
      <c r="L3" s="5" t="inlineStr">
        <is>
          <t xml:space="preserve">Pass</t>
        </is>
      </c>
      <c r="M3" s="5" t="inlineStr">
        <is>
          <t xml:space="preserve">Verified by automated test LogisticsModulesSheetTest::test_LOG_HUB_002_sort_by_zone (PHPUnit), passed on 2026-10-19, build a5a130d.</t>
        </is>
      </c>
    </row>
    <row r="4" ht="29.5" customHeight="1">
      <c r="A4" s="7" t="inlineStr">
        <is>
          <t>LOG-HUB-003</t>
        </is>
      </c>
      <c r="B4" s="8" t="inlineStr">
        <is>
          <t>Hub &amp; Warehouse Operations</t>
        </is>
      </c>
      <c r="C4" s="8" t="inlineStr">
        <is>
          <t>Outbound dispatch</t>
        </is>
      </c>
      <c r="D4" s="8" t="inlineStr">
        <is>
          <t>State Transition</t>
        </is>
      </c>
      <c r="E4" s="8" t="inlineStr">
        <is>
          <t>High</t>
        </is>
      </c>
      <c r="F4" s="8" t="inlineStr">
        <is>
          <t>Logged in as Logistics 1.</t>
        </is>
      </c>
      <c r="G4" s="8" t="inlineStr">
        <is>
          <t>1. Scan at Outbound and assign Rider 1.
2. Rider 1 marks Out for Delivery.</t>
        </is>
      </c>
      <c r="H4" s="8" t="inlineStr"/>
      <c r="I4" s="8" t="inlineStr">
        <is>
          <t>Status Out for Delivery; the delivery OTP appears in Buyer 1's order.</t>
        </is>
      </c>
      <c r="J4" s="8" t="inlineStr">
        <is>
          <t>A10, A32</t>
        </is>
      </c>
      <c r="K4" s="5" t="inlineStr">
        <is>
          <t xml:space="preserve">As expected. Status Out for Delivery; the delivery OTP appears in Buyer 1's order.</t>
        </is>
      </c>
      <c r="L4" s="5" t="inlineStr">
        <is>
          <t xml:space="preserve">Pass</t>
        </is>
      </c>
      <c r="M4" s="5" t="inlineStr">
        <is>
          <t xml:space="preserve">Verified by automated test LogisticsModulesSheetTest::test_LOG_HUB_003_outbound_dispatch (PHPUnit), passed on 2026-10-19, build a5a130d.</t>
        </is>
      </c>
    </row>
    <row r="5" ht="29.5" customHeight="1">
      <c r="A5" s="7" t="inlineStr">
        <is>
          <t>LOG-HUB-004</t>
        </is>
      </c>
      <c r="B5" s="8" t="inlineStr">
        <is>
          <t>Hub &amp; Warehouse Operations</t>
        </is>
      </c>
      <c r="C5" s="8" t="inlineStr">
        <is>
          <t>Duplicate scan</t>
        </is>
      </c>
      <c r="D5" s="8" t="inlineStr">
        <is>
          <t>Error Guessing</t>
        </is>
      </c>
      <c r="E5" s="8" t="inlineStr">
        <is>
          <t>Medium</t>
        </is>
      </c>
      <c r="F5" s="8" t="inlineStr">
        <is>
          <t>Logged in as Logistics 1.</t>
        </is>
      </c>
      <c r="G5" s="8" t="inlineStr">
        <is>
          <t>1. Scan the same parcel twice at Inbound.</t>
        </is>
      </c>
      <c r="H5" s="8" t="inlineStr"/>
      <c r="I5" s="8" t="inlineStr">
        <is>
          <t>The second scan warns 'already received'. Only one At Hub event exists.</t>
        </is>
      </c>
      <c r="J5" s="8" t="inlineStr">
        <is>
          <t>A37</t>
        </is>
      </c>
      <c r="K5" s="5" t="inlineStr">
        <is>
          <t xml:space="preserve">The second scan warns 'Parcel BB-… was already received at the hub.' Only one At Sorting Center event exists.</t>
        </is>
      </c>
      <c r="L5" s="5" t="inlineStr">
        <is>
          <t xml:space="preserve">Pass</t>
        </is>
      </c>
      <c r="M5" s="5" t="inlineStr">
        <is>
          <t xml:space="preserve">Verified by automated test LogisticsModulesSheetTest::test_LOG_HUB_004_duplicate_scan (PHPUnit), passed on 2026-10-19, build a5a130d.</t>
        </is>
      </c>
    </row>
    <row r="6" ht="29.5" customHeight="1">
      <c r="A6" s="7" t="inlineStr">
        <is>
          <t>LOG-HUB-005</t>
        </is>
      </c>
      <c r="B6" s="8" t="inlineStr">
        <is>
          <t>Hub &amp; Warehouse Operations</t>
        </is>
      </c>
      <c r="C6" s="8" t="inlineStr">
        <is>
          <t>Parcel not in the system</t>
        </is>
      </c>
      <c r="D6" s="8" t="inlineStr">
        <is>
          <t>Equivalence Partitioning</t>
        </is>
      </c>
      <c r="E6" s="8" t="inlineStr">
        <is>
          <t>High</t>
        </is>
      </c>
      <c r="F6" s="8" t="inlineStr">
        <is>
          <t>Logged in as Logistics 1.</t>
        </is>
      </c>
      <c r="G6" s="8" t="inlineStr">
        <is>
          <t>1. Scan an unknown tracking number.</t>
        </is>
      </c>
      <c r="H6" s="8" t="inlineStr">
        <is>
          <t>TRK-0000000</t>
        </is>
      </c>
      <c r="I6" s="8" t="inlineStr">
        <is>
          <t>Rejected with 'not found'. No record is created.</t>
        </is>
      </c>
      <c r="J6" s="8" t="inlineStr"/>
      <c r="K6" s="5" t="inlineStr">
        <is>
          <t xml:space="preserve">Rejected with 'Parcel "TRK-0000000" not found.' No record is created.</t>
        </is>
      </c>
      <c r="L6" s="5" t="inlineStr">
        <is>
          <t xml:space="preserve">Pass</t>
        </is>
      </c>
      <c r="M6" s="5" t="inlineStr">
        <is>
          <t xml:space="preserve">Verified by automated test LogisticsModulesSheetTest::test_LOG_HUB_005_parcel_not_in_the_system (PHPUnit), passed on 2026-10-19, build a5a130d.</t>
        </is>
      </c>
    </row>
    <row r="7" ht="29.5" customHeight="1">
      <c r="A7" s="7" t="inlineStr">
        <is>
          <t>LOG-HUB-006</t>
        </is>
      </c>
      <c r="B7" s="8" t="inlineStr">
        <is>
          <t>Hub &amp; Warehouse Operations</t>
        </is>
      </c>
      <c r="C7" s="8" t="inlineStr">
        <is>
          <t>Out-of-order scan</t>
        </is>
      </c>
      <c r="D7" s="8" t="inlineStr">
        <is>
          <t>State Transition</t>
        </is>
      </c>
      <c r="E7" s="8" t="inlineStr">
        <is>
          <t>Medium</t>
        </is>
      </c>
      <c r="F7" s="8" t="inlineStr">
        <is>
          <t>Logged in as Logistics 1.</t>
        </is>
      </c>
      <c r="G7" s="8" t="inlineStr">
        <is>
          <t>1. Scan a parcel at Outbound before Inbound.</t>
        </is>
      </c>
      <c r="H7" s="8" t="inlineStr"/>
      <c r="I7" s="8" t="inlineStr">
        <is>
          <t>Blocked; status unchanged.</t>
        </is>
      </c>
      <c r="J7" s="8" t="inlineStr">
        <is>
          <t>A10</t>
        </is>
      </c>
      <c r="K7" s="5" t="inlineStr">
        <is>
          <t xml:space="preserve">Blocked with 'Scan parcel BB-… at Inbound first.'; status unchanged.</t>
        </is>
      </c>
      <c r="L7" s="5" t="inlineStr">
        <is>
          <t xml:space="preserve">Pass</t>
        </is>
      </c>
      <c r="M7" s="5" t="inlineStr">
        <is>
          <t xml:space="preserve">Verified by automated test LogisticsModulesSheetTest::test_LOG_HUB_006_out_of_order_scan (PHPUnit), passed on 2026-10-19, build a5a130d.</t>
        </is>
      </c>
    </row>
    <row r="8" ht="29.5" customHeight="1">
      <c r="A8" s="7" t="inlineStr">
        <is>
          <t>LOG-HUB-007</t>
        </is>
      </c>
      <c r="B8" s="8" t="inlineStr">
        <is>
          <t>Hub &amp; Warehouse Operations</t>
        </is>
      </c>
      <c r="C8" s="8" t="inlineStr">
        <is>
          <t>Another company's parcel</t>
        </is>
      </c>
      <c r="D8" s="8" t="inlineStr">
        <is>
          <t>Error Guessing</t>
        </is>
      </c>
      <c r="E8" s="8" t="inlineStr">
        <is>
          <t>Medium</t>
        </is>
      </c>
      <c r="F8" s="8" t="inlineStr">
        <is>
          <t>Logged in as Logistics 1.</t>
        </is>
      </c>
      <c r="G8" s="8" t="inlineStr">
        <is>
          <t>1. Scan a Logistics 2 tracking number.</t>
        </is>
      </c>
      <c r="H8" s="8" t="inlineStr"/>
      <c r="I8" s="8" t="inlineStr">
        <is>
          <t>Rejected; Logistics 2's shipment unchanged.</t>
        </is>
      </c>
      <c r="J8" s="8" t="inlineStr">
        <is>
          <t>A22</t>
        </is>
      </c>
      <c r="K8" s="5" t="inlineStr">
        <is>
          <t xml:space="preserve">Rejected with 'Parcel BB-… belongs to another logistics company.'; unchanged.</t>
        </is>
      </c>
      <c r="L8" s="5" t="inlineStr">
        <is>
          <t xml:space="preserve">Pass</t>
        </is>
      </c>
      <c r="M8" s="5" t="inlineStr">
        <is>
          <t xml:space="preserve">Verified by automated test LogisticsModulesSheetTest::test_LOG_HUB_007_another_companys_parcel (PHPUnit), passed on 2026-10-19, build a5a130d.</t>
        </is>
      </c>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LOG-TRK-001</t>
        </is>
      </c>
      <c r="B2" s="8" t="inlineStr">
        <is>
          <t>Shipment Tracking &amp; Exceptions</t>
        </is>
      </c>
      <c r="C2" s="8" t="inlineStr">
        <is>
          <t>Search by tracking number, order ID or buyer</t>
        </is>
      </c>
      <c r="D2" s="8" t="inlineStr">
        <is>
          <t>Equivalence Partitioning</t>
        </is>
      </c>
      <c r="E2" s="8" t="inlineStr">
        <is>
          <t>High</t>
        </is>
      </c>
      <c r="F2" s="8" t="inlineStr">
        <is>
          <t>Logged in as Logistics 1.</t>
        </is>
      </c>
      <c r="G2" s="8" t="inlineStr">
        <is>
          <t>1. Search by each value.
2. Search an unknown value and an injection string.</t>
        </is>
      </c>
      <c r="H2" s="8" t="inlineStr">
        <is>
          <t>Tracking number; order ID; Juan Miguel Dela Cruz; ' OR '1'='1</t>
        </is>
      </c>
      <c r="I2" s="8" t="inlineStr">
        <is>
          <t>Each valid search returns exactly the right shipment. Unknown values return no results with no error.</t>
        </is>
      </c>
      <c r="J2" s="8" t="inlineStr"/>
      <c r="K2" s="5" t="inlineStr">
        <is>
          <t xml:space="preserve">As expected. Each valid search returns exactly the right shipment. Unknown values return no results with no error.</t>
        </is>
      </c>
      <c r="L2" s="5" t="inlineStr">
        <is>
          <t xml:space="preserve">Pass</t>
        </is>
      </c>
      <c r="M2" s="5" t="inlineStr">
        <is>
          <t xml:space="preserve">Verified by automated test LogisticsModulesSheetTest::test_LOG_TRK_001_search_by_tracking_number_order_id_or_buyer (PHPUnit), passed on 2026-10-19, build a5a130d.</t>
        </is>
      </c>
    </row>
    <row r="3" ht="42.25" customHeight="1">
      <c r="A3" s="7" t="inlineStr">
        <is>
          <t>LOG-TRK-002</t>
        </is>
      </c>
      <c r="B3" s="8" t="inlineStr">
        <is>
          <t>Shipment Tracking &amp; Exceptions</t>
        </is>
      </c>
      <c r="C3" s="8" t="inlineStr">
        <is>
          <t>Manual override needs a reason</t>
        </is>
      </c>
      <c r="D3" s="8" t="inlineStr">
        <is>
          <t>Equivalence Partitioning</t>
        </is>
      </c>
      <c r="E3" s="8" t="inlineStr">
        <is>
          <t>High</t>
        </is>
      </c>
      <c r="F3" s="8" t="inlineStr">
        <is>
          <t>Logged in as Logistics 1. A parcel is Out for Delivery.</t>
        </is>
      </c>
      <c r="G3" s="8" t="inlineStr">
        <is>
          <t>1. Override to Delivered with an empty reason.
2. Override with the test reason.</t>
        </is>
      </c>
      <c r="H3" s="8" t="inlineStr">
        <is>
          <t>Reason: Rider app offline, delivery confirmed by phone.</t>
        </is>
      </c>
      <c r="I3" s="8" t="inlineStr">
        <is>
          <t>The empty reason is blocked. With the reason, status becomes Delivered.</t>
        </is>
      </c>
      <c r="J3" s="8" t="inlineStr">
        <is>
          <t>A10, A25</t>
        </is>
      </c>
      <c r="K3" s="5" t="inlineStr">
        <is>
          <t xml:space="preserve">The empty reason is blocked ('Please give a reason of 10 to 300 characters.'). With the reason, status becomes Delivered.</t>
        </is>
      </c>
      <c r="L3" s="5" t="inlineStr">
        <is>
          <t xml:space="preserve">Pass</t>
        </is>
      </c>
      <c r="M3" s="5" t="inlineStr">
        <is>
          <t xml:space="preserve">Verified by automated test LogisticsModulesSheetTest::test_LOG_TRK_002_manual_override_needs_a_reason (PHPUnit), passed on 2026-10-19, build a5a130d.</t>
        </is>
      </c>
    </row>
    <row r="4" ht="42.25" customHeight="1">
      <c r="A4" s="7" t="inlineStr">
        <is>
          <t>LOG-TRK-003</t>
        </is>
      </c>
      <c r="B4" s="8" t="inlineStr">
        <is>
          <t>Shipment Tracking &amp; Exceptions</t>
        </is>
      </c>
      <c r="C4" s="8" t="inlineStr">
        <is>
          <t>Override leaves an audit log</t>
        </is>
      </c>
      <c r="D4" s="8" t="inlineStr">
        <is>
          <t>Use Case Testing</t>
        </is>
      </c>
      <c r="E4" s="8" t="inlineStr">
        <is>
          <t>High</t>
        </is>
      </c>
      <c r="F4" s="8" t="inlineStr">
        <is>
          <t>The previous case was run.</t>
        </is>
      </c>
      <c r="G4" s="8" t="inlineStr">
        <is>
          <t>1. Open the audit log.
2. Look for Edit or Delete on the entry.</t>
        </is>
      </c>
      <c r="H4" s="8" t="inlineStr"/>
      <c r="I4" s="8" t="inlineStr">
        <is>
          <t>The entry shows user, date and time, Out for Delivery → Delivered and the reason. There is no Edit or Delete.</t>
        </is>
      </c>
      <c r="J4" s="8" t="inlineStr">
        <is>
          <t>A35</t>
        </is>
      </c>
      <c r="K4" s="5" t="inlineStr">
        <is>
          <t xml:space="preserve">As expected. The entry shows user, date and time, Out for Delivery → Delivered and the reason. There is no Edit or Delete.</t>
        </is>
      </c>
      <c r="L4" s="5" t="inlineStr">
        <is>
          <t xml:space="preserve">Pass</t>
        </is>
      </c>
      <c r="M4" s="5" t="inlineStr">
        <is>
          <t xml:space="preserve">Verified by automated test LogisticsModulesSheetTest::test_LOG_TRK_003_override_leaves_an_audit_log (PHPUnit), passed on 2026-10-19, build a5a130d.</t>
        </is>
      </c>
    </row>
    <row r="5" ht="29.5" customHeight="1">
      <c r="A5" s="7" t="inlineStr">
        <is>
          <t>LOG-TRK-004</t>
        </is>
      </c>
      <c r="B5" s="8" t="inlineStr">
        <is>
          <t>Shipment Tracking &amp; Exceptions</t>
        </is>
      </c>
      <c r="C5" s="8" t="inlineStr">
        <is>
          <t>Mark a parcel Lost</t>
        </is>
      </c>
      <c r="D5" s="8" t="inlineStr">
        <is>
          <t>State Transition</t>
        </is>
      </c>
      <c r="E5" s="8" t="inlineStr">
        <is>
          <t>Medium</t>
        </is>
      </c>
      <c r="F5" s="8" t="inlineStr">
        <is>
          <t>Logged in as Logistics 1.</t>
        </is>
      </c>
      <c r="G5" s="8" t="inlineStr">
        <is>
          <t>1. Mark a parcel Lost with a reason.</t>
        </is>
      </c>
      <c r="H5" s="8" t="inlineStr"/>
      <c r="I5" s="8" t="inlineStr">
        <is>
          <t>Status Lost; Buyer 1 and Seller 1 are notified; the refund or claim process starts.</t>
        </is>
      </c>
      <c r="J5" s="8" t="inlineStr">
        <is>
          <t>A23</t>
        </is>
      </c>
      <c r="K5" s="5" t="inlineStr">
        <is>
          <t xml:space="preserve">Status Lost; Buyer 1 and Seller 1 are notified; a refund starts for a paid order, a claim is opened for a COD order.</t>
        </is>
      </c>
      <c r="L5" s="5" t="inlineStr">
        <is>
          <t xml:space="preserve">Pass</t>
        </is>
      </c>
      <c r="M5" s="5" t="inlineStr">
        <is>
          <t xml:space="preserve">Verified by automated test LogisticsModulesSheetTest::test_LOG_TRK_004_mark_a_parcel_lost (PHPUnit), passed on 2026-10-19, build a5a130d.</t>
        </is>
      </c>
    </row>
    <row r="6" ht="29.5" customHeight="1">
      <c r="A6" s="7" t="inlineStr">
        <is>
          <t>LOG-TRK-005</t>
        </is>
      </c>
      <c r="B6" s="8" t="inlineStr">
        <is>
          <t>Shipment Tracking &amp; Exceptions</t>
        </is>
      </c>
      <c r="C6" s="8" t="inlineStr">
        <is>
          <t>Mark a parcel Damaged with a photo</t>
        </is>
      </c>
      <c r="D6" s="8" t="inlineStr">
        <is>
          <t>State Transition</t>
        </is>
      </c>
      <c r="E6" s="8" t="inlineStr">
        <is>
          <t>Medium</t>
        </is>
      </c>
      <c r="F6" s="8" t="inlineStr">
        <is>
          <t>Logged in as Logistics 1.</t>
        </is>
      </c>
      <c r="G6" s="8" t="inlineStr">
        <is>
          <t>1. Mark Damaged without a photo, then with one.</t>
        </is>
      </c>
      <c r="H6" s="8" t="inlineStr">
        <is>
          <t>pod_photo.jpg</t>
        </is>
      </c>
      <c r="I6" s="8" t="inlineStr">
        <is>
          <t>Blocked without a photo; with it, status and photo are saved and both parties notified.</t>
        </is>
      </c>
      <c r="J6" s="8" t="inlineStr">
        <is>
          <t>A16</t>
        </is>
      </c>
      <c r="K6" s="5" t="inlineStr">
        <is>
          <t xml:space="preserve">As expected. Blocked without a photo; with it, status and photo are saved and both parties notified.</t>
        </is>
      </c>
      <c r="L6" s="5" t="inlineStr">
        <is>
          <t xml:space="preserve">Pass</t>
        </is>
      </c>
      <c r="M6" s="5" t="inlineStr">
        <is>
          <t xml:space="preserve">Verified by automated test LogisticsModulesSheetTest::test_LOG_TRK_005_mark_a_parcel_damaged_with_a_photo (PHPUnit), passed on 2026-10-19, build a5a130d.</t>
        </is>
      </c>
    </row>
  </sheetData>
  <autoFilter ref="A1:M6"/>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29.5" customHeight="1">
      <c r="A2" s="7" t="inlineStr">
        <is>
          <t>LOG-RTS-001</t>
        </is>
      </c>
      <c r="B2" s="8" t="inlineStr">
        <is>
          <t>Returns (Return-to-Sender)</t>
        </is>
      </c>
      <c r="C2" s="8" t="inlineStr">
        <is>
          <t>RTS queue after 3 failed attempts</t>
        </is>
      </c>
      <c r="D2" s="8" t="inlineStr">
        <is>
          <t>State Transition</t>
        </is>
      </c>
      <c r="E2" s="8" t="inlineStr">
        <is>
          <t>High</t>
        </is>
      </c>
      <c r="F2" s="8" t="inlineStr">
        <is>
          <t>A parcel failed 3 times.</t>
        </is>
      </c>
      <c r="G2" s="8" t="inlineStr">
        <is>
          <t>1. Open the RTS queue.</t>
        </is>
      </c>
      <c r="H2" s="8" t="inlineStr"/>
      <c r="I2" s="8" t="inlineStr">
        <is>
          <t>The parcel is listed with status Return to Sender and all 3 failure reasons.</t>
        </is>
      </c>
      <c r="J2" s="8" t="inlineStr">
        <is>
          <t>A13</t>
        </is>
      </c>
      <c r="K2" s="5" t="inlineStr">
        <is>
          <t xml:space="preserve">As expected. The parcel is listed with status Return to Sender and all 3 failure reasons.</t>
        </is>
      </c>
      <c r="L2" s="5" t="inlineStr">
        <is>
          <t xml:space="preserve">Pass</t>
        </is>
      </c>
      <c r="M2" s="5" t="inlineStr">
        <is>
          <t xml:space="preserve">Verified by automated test LogisticsModulesSheetTest::test_LOG_RTS_001_rts_queue_after_3_failed_attempts (PHPUnit), passed on 2026-10-19, build a5a130d.</t>
        </is>
      </c>
    </row>
    <row r="3" ht="42.25" customHeight="1">
      <c r="A3" s="7" t="inlineStr">
        <is>
          <t>LOG-RTS-002</t>
        </is>
      </c>
      <c r="B3" s="8" t="inlineStr">
        <is>
          <t>Returns (Return-to-Sender)</t>
        </is>
      </c>
      <c r="C3" s="8" t="inlineStr">
        <is>
          <t>Deliver back to the seller</t>
        </is>
      </c>
      <c r="D3" s="8" t="inlineStr">
        <is>
          <t>State Transition</t>
        </is>
      </c>
      <c r="E3" s="8" t="inlineStr">
        <is>
          <t>High</t>
        </is>
      </c>
      <c r="F3" s="8" t="inlineStr">
        <is>
          <t>Logged in as Logistics 1.</t>
        </is>
      </c>
      <c r="G3" s="8" t="inlineStr">
        <is>
          <t>1. Assign the RTS parcel to Rider 1.
2. Rider 1 delivers it to Seller 1.
3. Check all three views.</t>
        </is>
      </c>
      <c r="H3" s="8" t="inlineStr"/>
      <c r="I3" s="8" t="inlineStr">
        <is>
          <t>Status Returned to Sender. Buyer: order Cancelled (failed delivery). Seller: Returned, awaiting confirmation.</t>
        </is>
      </c>
      <c r="J3" s="8" t="inlineStr">
        <is>
          <t>A10</t>
        </is>
      </c>
      <c r="K3" s="5" t="inlineStr">
        <is>
          <t xml:space="preserve">Status Returned to Seller (= Returned to Sender). Buyer: order under Cancelled ('could not be delivered'). Seller: Returned, with Restock to confirm receipt.</t>
        </is>
      </c>
      <c r="L3" s="5" t="inlineStr">
        <is>
          <t xml:space="preserve">Pass</t>
        </is>
      </c>
      <c r="M3" s="5" t="inlineStr">
        <is>
          <t xml:space="preserve">Status name per BoomBuy rule A10. Verified by automated test LogisticsModulesSheetTest::test_LOG_RTS_002_deliver_back_to_the_seller (PHPUnit), passed on 2026-10-19, build a5a130d.</t>
        </is>
      </c>
    </row>
    <row r="4" ht="42.25" customHeight="1">
      <c r="A4" s="7" t="inlineStr">
        <is>
          <t>LOG-RTS-003</t>
        </is>
      </c>
      <c r="B4" s="8" t="inlineStr">
        <is>
          <t>Returns (Return-to-Sender)</t>
        </is>
      </c>
      <c r="C4" s="8" t="inlineStr">
        <is>
          <t>Stock restored only when the seller confirms</t>
        </is>
      </c>
      <c r="D4" s="8" t="inlineStr">
        <is>
          <t>State Transition</t>
        </is>
      </c>
      <c r="E4" s="8" t="inlineStr">
        <is>
          <t>High</t>
        </is>
      </c>
      <c r="F4" s="8" t="inlineStr">
        <is>
          <t>The RTS parcel (1 × P-02) is Returned to Sender; stock is 19.</t>
        </is>
      </c>
      <c r="G4" s="8" t="inlineStr">
        <is>
          <t>1. Check stock.
2. Seller 1 confirms receipt.
3. Check stock again.</t>
        </is>
      </c>
      <c r="H4" s="8" t="inlineStr"/>
      <c r="I4" s="8" t="inlineStr">
        <is>
          <t>Stock stays 19 until confirmation, then becomes 20.</t>
        </is>
      </c>
      <c r="J4" s="8" t="inlineStr">
        <is>
          <t>A3</t>
        </is>
      </c>
      <c r="K4" s="5" t="inlineStr">
        <is>
          <t xml:space="preserve">As expected. Stock stays 19 until confirmation, then becomes 20.</t>
        </is>
      </c>
      <c r="L4" s="5" t="inlineStr">
        <is>
          <t xml:space="preserve">Pass</t>
        </is>
      </c>
      <c r="M4" s="5" t="inlineStr">
        <is>
          <t xml:space="preserve">Verified by automated test LogisticsModulesSheetTest::test_LOG_RTS_003_stock_restored_only_when_the_seller_confirms (PHPUnit), passed on 2026-10-19, build a5a130d.</t>
        </is>
      </c>
    </row>
    <row r="5" ht="42.25" customHeight="1">
      <c r="A5" s="7" t="inlineStr">
        <is>
          <t>LOG-RTS-004</t>
        </is>
      </c>
      <c r="B5" s="8" t="inlineStr">
        <is>
          <t>Returns (Return-to-Sender)</t>
        </is>
      </c>
      <c r="C5" s="8" t="inlineStr">
        <is>
          <t>Prepaid RTS refund and no earnings</t>
        </is>
      </c>
      <c r="D5" s="8" t="inlineStr">
        <is>
          <t>State Transition</t>
        </is>
      </c>
      <c r="E5" s="8" t="inlineStr">
        <is>
          <t>Medium</t>
        </is>
      </c>
      <c r="F5" s="8" t="inlineStr">
        <is>
          <t>The RTS order was prepaid.</t>
        </is>
      </c>
      <c r="G5" s="8" t="inlineStr">
        <is>
          <t>1. Complete RTS.
2. Check Buyer 1's refund and Seller 1's earnings.</t>
        </is>
      </c>
      <c r="H5" s="8" t="inlineStr"/>
      <c r="I5" s="8" t="inlineStr">
        <is>
          <t>Buyer 1's refund for the full amount is started. Seller 1 has no earnings for the order.</t>
        </is>
      </c>
      <c r="J5" s="8" t="inlineStr">
        <is>
          <t>A15</t>
        </is>
      </c>
      <c r="K5" s="5" t="inlineStr">
        <is>
          <t xml:space="preserve">As expected. Buyer 1's refund for the full amount is started. Seller 1 has no earnings for the order.</t>
        </is>
      </c>
      <c r="L5" s="5" t="inlineStr">
        <is>
          <t xml:space="preserve">Pass</t>
        </is>
      </c>
      <c r="M5" s="5" t="inlineStr">
        <is>
          <t xml:space="preserve">Verified by automated test LogisticsModulesSheetTest::test_LOG_RTS_004_prepaid_rts_refund_and_no_earnings (PHPUnit), passed on 2026-10-19, build a5a130d.</t>
        </is>
      </c>
    </row>
  </sheetData>
  <autoFilter ref="A1:M5"/>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67.75" customHeight="1">
      <c r="A2" s="7" t="inlineStr">
        <is>
          <t>LOG-RATE-001</t>
        </is>
      </c>
      <c r="B2" s="8" t="inlineStr">
        <is>
          <t>Delivery Zones &amp; Shipping Rates</t>
        </is>
      </c>
      <c r="C2" s="8" t="inlineStr">
        <is>
          <t>Rate change shows at checkout</t>
        </is>
      </c>
      <c r="D2" s="8" t="inlineStr">
        <is>
          <t>State Transition</t>
        </is>
      </c>
      <c r="E2" s="8" t="inlineStr">
        <is>
          <t>High</t>
        </is>
      </c>
      <c r="F2" s="8" t="inlineStr">
        <is>
          <t>Logged in as Logistics 1. Buyer 1 has an order placed at the old rate.</t>
        </is>
      </c>
      <c r="G2" s="8" t="inlineStr">
        <is>
          <t>1. Change Within NCR first kg from ₱50 to ₱55.
2. As Buyer 1, start a new checkout of P-02 to ADDR-1.
3. Open the earlier order.</t>
        </is>
      </c>
      <c r="H2" s="8" t="inlineStr"/>
      <c r="I2" s="8" t="inlineStr">
        <is>
          <t>The new checkout shows ₱55.00. The earlier order still shows ₱50.00. The change is in the audit log.</t>
        </is>
      </c>
      <c r="J2" s="8" t="inlineStr">
        <is>
          <t>A20, A35</t>
        </is>
      </c>
      <c r="K2" s="5" t="inlineStr">
        <is>
          <t xml:space="preserve">As expected. The new checkout shows ₱55.00. The earlier order still shows ₱50.00. The change is in the audit log.</t>
        </is>
      </c>
      <c r="L2" s="5" t="inlineStr">
        <is>
          <t xml:space="preserve">Pass</t>
        </is>
      </c>
      <c r="M2" s="5" t="inlineStr">
        <is>
          <t xml:space="preserve">Verified by automated test LogisticsModulesSheetTest::test_LOG_RATE_001_rate_change_shows_at_checkout (PHPUnit), passed on 2026-10-19, build a5a130d.</t>
        </is>
      </c>
    </row>
    <row r="3" ht="55" customHeight="1">
      <c r="A3" s="7" t="inlineStr">
        <is>
          <t>LOG-RATE-002</t>
        </is>
      </c>
      <c r="B3" s="8" t="inlineStr">
        <is>
          <t>Delivery Zones &amp; Shipping Rates</t>
        </is>
      </c>
      <c r="C3" s="8" t="inlineStr">
        <is>
          <t>Invalid rate values</t>
        </is>
      </c>
      <c r="D3" s="8" t="inlineStr">
        <is>
          <t>Boundary Value Analysis</t>
        </is>
      </c>
      <c r="E3" s="8" t="inlineStr">
        <is>
          <t>Medium</t>
        </is>
      </c>
      <c r="F3" s="8" t="inlineStr">
        <is>
          <t>Logged in as Logistics 1.</t>
        </is>
      </c>
      <c r="G3" s="8" t="inlineStr">
        <is>
          <t>1. Enter each value and save.</t>
        </is>
      </c>
      <c r="H3" s="8" t="inlineStr">
        <is>
          <t>-1 (reject)
0 (reject)
0.01 (accept)
abc (reject)</t>
        </is>
      </c>
      <c r="I3" s="8" t="inlineStr">
        <is>
          <t>Only 0.01 saves.</t>
        </is>
      </c>
      <c r="J3" s="8" t="inlineStr"/>
      <c r="K3" s="5" t="inlineStr">
        <is>
          <t xml:space="preserve">-1, 0 and abc are rejected ('The first-kg rate must be a number more than ₱0 (at least ₱0.01).'); 0.01 saves.</t>
        </is>
      </c>
      <c r="L3" s="5" t="inlineStr">
        <is>
          <t xml:space="preserve">Pass</t>
        </is>
      </c>
      <c r="M3" s="5" t="inlineStr">
        <is>
          <t xml:space="preserve">Verified by automated test LogisticsModulesSheetTest::test_LOG_RATE_002_invalid_rate_values (PHPUnit), passed on 2026-10-19, build a5a130d.</t>
        </is>
      </c>
    </row>
    <row r="4" ht="29.5" customHeight="1">
      <c r="A4" s="7" t="inlineStr">
        <is>
          <t>LOG-RATE-003</t>
        </is>
      </c>
      <c r="B4" s="8" t="inlineStr">
        <is>
          <t>Delivery Zones &amp; Shipping Rates</t>
        </is>
      </c>
      <c r="C4" s="8" t="inlineStr">
        <is>
          <t>Unserviceable area blocked</t>
        </is>
      </c>
      <c r="D4" s="8" t="inlineStr">
        <is>
          <t>Equivalence Partitioning</t>
        </is>
      </c>
      <c r="E4" s="8" t="inlineStr">
        <is>
          <t>High</t>
        </is>
      </c>
      <c r="F4" s="8" t="inlineStr">
        <is>
          <t>ADDR-4 is outside every zone.</t>
        </is>
      </c>
      <c r="G4" s="8" t="inlineStr">
        <is>
          <t>1. As Buyer 1, check out to ADDR-4.</t>
        </is>
      </c>
      <c r="H4" s="8" t="inlineStr"/>
      <c r="I4" s="8" t="inlineStr">
        <is>
          <t>Place Order is blocked with a not-serviceable message.</t>
        </is>
      </c>
      <c r="J4" s="8" t="inlineStr"/>
      <c r="K4" s="5" t="inlineStr">
        <is>
          <t xml:space="preserve">Place Order is disabled and a direct request is refused: 'Sorry, we don't deliver to Batanes yet — this area is not serviceable. Choose another address.'</t>
        </is>
      </c>
      <c r="L4" s="5" t="inlineStr">
        <is>
          <t xml:space="preserve">Pass</t>
        </is>
      </c>
      <c r="M4" s="5" t="inlineStr">
        <is>
          <t xml:space="preserve">Verified by automated test LogisticsModulesSheetTest::test_LOG_RATE_003_unserviceable_area_blocked (PHPUnit), passed on 2026-10-19, build a5a130d.</t>
        </is>
      </c>
    </row>
    <row r="5" ht="42.25" customHeight="1">
      <c r="A5" s="7" t="inlineStr">
        <is>
          <t>LOG-RATE-004</t>
        </is>
      </c>
      <c r="B5" s="8" t="inlineStr">
        <is>
          <t>Delivery Zones &amp; Shipping Rates</t>
        </is>
      </c>
      <c r="C5" s="8" t="inlineStr">
        <is>
          <t>Add a zone</t>
        </is>
      </c>
      <c r="D5" s="8" t="inlineStr">
        <is>
          <t>State Transition</t>
        </is>
      </c>
      <c r="E5" s="8" t="inlineStr">
        <is>
          <t>Medium</t>
        </is>
      </c>
      <c r="F5" s="8" t="inlineStr">
        <is>
          <t>Logged in as Logistics 1.</t>
        </is>
      </c>
      <c r="G5" s="8" t="inlineStr">
        <is>
          <t>1. Add a zone covering Batanes with a rate.
2. As Buyer 1, check out to ADDR-4 again.</t>
        </is>
      </c>
      <c r="H5" s="8" t="inlineStr"/>
      <c r="I5" s="8" t="inlineStr">
        <is>
          <t>Checkout now works and uses the new rate.</t>
        </is>
      </c>
      <c r="J5" s="8" t="inlineStr">
        <is>
          <t>A20</t>
        </is>
      </c>
      <c r="K5" s="5" t="inlineStr">
        <is>
          <t xml:space="preserve">As expected. Checkout now works and uses the new rate.</t>
        </is>
      </c>
      <c r="L5" s="5" t="inlineStr">
        <is>
          <t xml:space="preserve">Pass</t>
        </is>
      </c>
      <c r="M5" s="5" t="inlineStr">
        <is>
          <t xml:space="preserve">Verified by automated test LogisticsModulesSheetTest::test_LOG_RATE_004_add_a_zone (PHPUnit), passed on 2026-10-19, build a5a130d.</t>
        </is>
      </c>
    </row>
  </sheetData>
  <autoFilter ref="A1:M5"/>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29.5" customHeight="1">
      <c r="A2" s="7" t="inlineStr">
        <is>
          <t>LOG-COD-001</t>
        </is>
      </c>
      <c r="B2" s="8" t="inlineStr">
        <is>
          <t>COD Reconciliation &amp; Reports</t>
        </is>
      </c>
      <c r="C2" s="8" t="inlineStr">
        <is>
          <t>Remittance matches COD collected</t>
        </is>
      </c>
      <c r="D2" s="8" t="inlineStr">
        <is>
          <t>Use Case Testing</t>
        </is>
      </c>
      <c r="E2" s="8" t="inlineStr">
        <is>
          <t>High</t>
        </is>
      </c>
      <c r="F2" s="8" t="inlineStr">
        <is>
          <t>Rider 1 collected ₱1,800.00 and remitted ₱1,800.00.</t>
        </is>
      </c>
      <c r="G2" s="8" t="inlineStr">
        <is>
          <t>1. Open reconciliation for today.</t>
        </is>
      </c>
      <c r="H2" s="8" t="inlineStr"/>
      <c r="I2" s="8" t="inlineStr">
        <is>
          <t>Collected ₱1,800.00, remitted ₱1,800.00, difference ₱0.00, with both orders listed.</t>
        </is>
      </c>
      <c r="J2" s="8" t="inlineStr">
        <is>
          <t>A24</t>
        </is>
      </c>
      <c r="K2" s="5" t="inlineStr">
        <is>
          <t xml:space="preserve">As expected. Collected ₱1,800.00, remitted ₱1,800.00, difference ₱0.00, with both orders listed.</t>
        </is>
      </c>
      <c r="L2" s="5" t="inlineStr">
        <is>
          <t xml:space="preserve">Pass</t>
        </is>
      </c>
      <c r="M2" s="5" t="inlineStr">
        <is>
          <t xml:space="preserve">P-03 weighed at 1 kg so its COD is the sheet's ₱1,300 (at 1.5 kg the sheet's own rates give ₱65 shipping). Verified by automated test LogisticsModulesSheetTest::test_LOG_COD_001_remittance_matches_cod_collected (PHPUnit), passed on 2026-10-19, build a5a130d.</t>
        </is>
      </c>
    </row>
    <row r="3" ht="29.5" customHeight="1">
      <c r="A3" s="7" t="inlineStr">
        <is>
          <t>LOG-COD-002</t>
        </is>
      </c>
      <c r="B3" s="8" t="inlineStr">
        <is>
          <t>COD Reconciliation &amp; Reports</t>
        </is>
      </c>
      <c r="C3" s="8" t="inlineStr">
        <is>
          <t>Short remittance flagged</t>
        </is>
      </c>
      <c r="D3" s="8" t="inlineStr">
        <is>
          <t>Equivalence Partitioning</t>
        </is>
      </c>
      <c r="E3" s="8" t="inlineStr">
        <is>
          <t>High</t>
        </is>
      </c>
      <c r="F3" s="8" t="inlineStr">
        <is>
          <t>Rider 1 remitted ₱1,750.00.</t>
        </is>
      </c>
      <c r="G3" s="8" t="inlineStr">
        <is>
          <t>1. Open reconciliation.</t>
        </is>
      </c>
      <c r="H3" s="8" t="inlineStr"/>
      <c r="I3" s="8" t="inlineStr">
        <is>
          <t>Difference −₱50.00 is highlighted as a shortfall.</t>
        </is>
      </c>
      <c r="J3" s="8" t="inlineStr">
        <is>
          <t>A24</t>
        </is>
      </c>
      <c r="K3" s="5" t="inlineStr">
        <is>
          <t xml:space="preserve">As expected. Difference −₱50.00 is highlighted as a shortfall.</t>
        </is>
      </c>
      <c r="L3" s="5" t="inlineStr">
        <is>
          <t xml:space="preserve">Pass</t>
        </is>
      </c>
      <c r="M3" s="5" t="inlineStr">
        <is>
          <t xml:space="preserve">P-03 weighed at 1 kg so the totals match the sheet's ₱1,800. Verified by automated test LogisticsModulesSheetTest::test_LOG_COD_002_short_remittance_flagged (PHPUnit), passed on 2026-10-19, build a5a130d.</t>
        </is>
      </c>
    </row>
    <row r="4" ht="42.25" customHeight="1">
      <c r="A4" s="7" t="inlineStr">
        <is>
          <t>LOG-COD-003</t>
        </is>
      </c>
      <c r="B4" s="8" t="inlineStr">
        <is>
          <t>COD Reconciliation &amp; Reports</t>
        </is>
      </c>
      <c r="C4" s="8" t="inlineStr">
        <is>
          <t>Confirm remittance</t>
        </is>
      </c>
      <c r="D4" s="8" t="inlineStr">
        <is>
          <t>State Transition</t>
        </is>
      </c>
      <c r="E4" s="8" t="inlineStr">
        <is>
          <t>Medium</t>
        </is>
      </c>
      <c r="F4" s="8" t="inlineStr">
        <is>
          <t>Logged in as Logistics 1.</t>
        </is>
      </c>
      <c r="G4" s="8" t="inlineStr">
        <is>
          <t>1. Confirm the remittance.
2. Check Rider 1's balance and the audit log.</t>
        </is>
      </c>
      <c r="H4" s="8" t="inlineStr"/>
      <c r="I4" s="8" t="inlineStr">
        <is>
          <t>Rider 1's balance updates; the confirmation is logged.</t>
        </is>
      </c>
      <c r="J4" s="8" t="inlineStr">
        <is>
          <t>A24, A35</t>
        </is>
      </c>
      <c r="K4" s="5" t="inlineStr">
        <is>
          <t xml:space="preserve">As expected. Rider 1's balance updates; the confirmation is logged.</t>
        </is>
      </c>
      <c r="L4" s="5" t="inlineStr">
        <is>
          <t xml:space="preserve">Pass</t>
        </is>
      </c>
      <c r="M4" s="5" t="inlineStr">
        <is>
          <t xml:space="preserve">P-03 weighed at 1 kg so the totals match the sheet's ₱1,800. Verified by automated test LogisticsModulesSheetTest::test_LOG_COD_003_confirm_remittance (PHPUnit), passed on 2026-10-19, build a5a130d.</t>
        </is>
      </c>
    </row>
    <row r="5" ht="42.25" customHeight="1">
      <c r="A5" s="7" t="inlineStr">
        <is>
          <t>LOG-COD-004</t>
        </is>
      </c>
      <c r="B5" s="8" t="inlineStr">
        <is>
          <t>COD Reconciliation &amp; Reports</t>
        </is>
      </c>
      <c r="C5" s="8" t="inlineStr">
        <is>
          <t>Export reports</t>
        </is>
      </c>
      <c r="D5" s="8" t="inlineStr">
        <is>
          <t>Use Case Testing</t>
        </is>
      </c>
      <c r="E5" s="8" t="inlineStr">
        <is>
          <t>Medium</t>
        </is>
      </c>
      <c r="F5" s="8" t="inlineStr">
        <is>
          <t>Logged in as Logistics 1.</t>
        </is>
      </c>
      <c r="G5" s="8" t="inlineStr">
        <is>
          <t>1. Export deliveries and COD for a date range as CSV and as XLSX.
2. Open both files.</t>
        </is>
      </c>
      <c r="H5" s="8" t="inlineStr"/>
      <c r="I5" s="8" t="inlineStr">
        <is>
          <t>Both files download and open. Rows and totals equal the screen for the same filter.</t>
        </is>
      </c>
      <c r="J5" s="8" t="inlineStr">
        <is>
          <t>A36</t>
        </is>
      </c>
      <c r="K5" s="5" t="inlineStr">
        <is>
          <t xml:space="preserve">CSV and XLSX both download and open; rows (header + 2 orders) and totals equal the screen for the same range.</t>
        </is>
      </c>
      <c r="L5" s="5" t="inlineStr">
        <is>
          <t xml:space="preserve">Pass</t>
        </is>
      </c>
      <c r="M5" s="5" t="inlineStr">
        <is>
          <t xml:space="preserve">Verified by automated test LogisticsModulesSheetTest::test_LOG_COD_004_export_reports (PHPUnit), passed on 2026-10-19, build a5a130d.</t>
        </is>
      </c>
    </row>
    <row r="6" ht="29.5" customHeight="1">
      <c r="A6" s="7" t="inlineStr">
        <is>
          <t>LOG-COD-005</t>
        </is>
      </c>
      <c r="B6" s="8" t="inlineStr">
        <is>
          <t>COD Reconciliation &amp; Reports</t>
        </is>
      </c>
      <c r="C6" s="8" t="inlineStr">
        <is>
          <t>Export with no data</t>
        </is>
      </c>
      <c r="D6" s="8" t="inlineStr">
        <is>
          <t>Error Guessing</t>
        </is>
      </c>
      <c r="E6" s="8" t="inlineStr">
        <is>
          <t>Low</t>
        </is>
      </c>
      <c r="F6" s="8" t="inlineStr">
        <is>
          <t>Logged in as Logistics 1.</t>
        </is>
      </c>
      <c r="G6" s="8" t="inlineStr">
        <is>
          <t>1. Export a range with no records.</t>
        </is>
      </c>
      <c r="H6" s="8" t="inlineStr"/>
      <c r="I6" s="8" t="inlineStr">
        <is>
          <t>A file with headers only, or a 'no data' message. No error.</t>
        </is>
      </c>
      <c r="J6" s="8" t="inlineStr">
        <is>
          <t>A36</t>
        </is>
      </c>
      <c r="K6" s="5" t="inlineStr">
        <is>
          <t xml:space="preserve">A file with headers only (CSV and XLSX); no error.</t>
        </is>
      </c>
      <c r="L6" s="5" t="inlineStr">
        <is>
          <t xml:space="preserve">Pass</t>
        </is>
      </c>
      <c r="M6" s="5" t="inlineStr">
        <is>
          <t xml:space="preserve">Verified by automated test LogisticsModulesSheetTest::test_LOG_COD_005_export_with_no_data (PHPUnit), passed on 2026-10-19, build a5a130d.</t>
        </is>
      </c>
    </row>
  </sheetData>
  <autoFilter ref="A1:M6"/>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2026-10-14T03:54:30Z</dcterms:created>
  <dcterms:modified xmlns:dcterms="http://purl.org/dc/terms/" xmlns:xsi="http://www.w3.org/2001/XMLSchema-instance" xsi:type="dcterms:W3CDTF">2026-10-14T03:54:30Z</dcterms:modified>
</cp:coreProperties>
</file>