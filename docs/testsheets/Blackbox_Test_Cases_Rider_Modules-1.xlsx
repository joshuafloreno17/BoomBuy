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ssumptions" sheetId="2" state="visible" r:id="rId2"/>
    <sheet xmlns:r="http://schemas.openxmlformats.org/officeDocument/2006/relationships" name="Test Data" sheetId="3" state="visible" r:id="rId3"/>
    <sheet xmlns:r="http://schemas.openxmlformats.org/officeDocument/2006/relationships" name="Test Files" sheetId="4" state="visible" r:id="rId4"/>
    <sheet xmlns:r="http://schemas.openxmlformats.org/officeDocument/2006/relationships" name="R1 Profile &amp; Vehicle" sheetId="5" state="visible" r:id="rId5"/>
    <sheet xmlns:r="http://schemas.openxmlformats.org/officeDocument/2006/relationships" name="R2 Availability" sheetId="6" state="visible" r:id="rId6"/>
    <sheet xmlns:r="http://schemas.openxmlformats.org/officeDocument/2006/relationships" name="R3 Job Assignment" sheetId="7" state="visible" r:id="rId7"/>
    <sheet xmlns:r="http://schemas.openxmlformats.org/officeDocument/2006/relationships" name="R4 Pickup" sheetId="8" state="visible" r:id="rId8"/>
    <sheet xmlns:r="http://schemas.openxmlformats.org/officeDocument/2006/relationships" name="R5 Delivery" sheetId="9" state="visible" r:id="rId9"/>
    <sheet xmlns:r="http://schemas.openxmlformats.org/officeDocument/2006/relationships" name="R6 Failed Delivery" sheetId="10" state="visible" r:id="rId10"/>
    <sheet xmlns:r="http://schemas.openxmlformats.org/officeDocument/2006/relationships" name="R7 Earnings &amp; COD" sheetId="11" state="visible" r:id="rId11"/>
  </sheets>
  <definedNames>
    <definedName name="_xlnm._FilterDatabase" localSheetId="4" hidden="1">'R1 Profile &amp; Vehicle'!$A$1:$M$8</definedName>
    <definedName name="_xlnm._FilterDatabase" localSheetId="5" hidden="1">'R2 Availability'!$A$1:$M$5</definedName>
    <definedName name="_xlnm._FilterDatabase" localSheetId="6" hidden="1">'R3 Job Assignment'!$A$1:$M$8</definedName>
    <definedName name="_xlnm._FilterDatabase" localSheetId="7" hidden="1">'R4 Pickup'!$A$1:$M$6</definedName>
    <definedName name="_xlnm._FilterDatabase" localSheetId="8" hidden="1">'R5 Delivery'!$A$1:$M$8</definedName>
    <definedName name="_xlnm._FilterDatabase" localSheetId="9" hidden="1">'R6 Failed Delivery'!$A$1:$M$6</definedName>
    <definedName name="_xlnm._FilterDatabase" localSheetId="10" hidden="1">'R7 Earnings &amp; COD'!$A$1:$M$7</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color rgb="001F3864"/>
      <sz val="11"/>
    </font>
    <font>
      <name val="Arial"/>
      <b val="1"/>
      <sz val="10"/>
    </font>
    <font>
      <name val="Arial"/>
      <b val="1"/>
      <color rgb="00FFFFFF"/>
      <sz val="10"/>
    </font>
  </fonts>
  <fills count="5">
    <fill>
      <patternFill/>
    </fill>
    <fill>
      <patternFill patternType="gray125"/>
    </fill>
    <fill>
      <patternFill patternType="solid">
        <fgColor rgb="00F2F2F2"/>
      </patternFill>
    </fill>
    <fill>
      <patternFill patternType="solid">
        <fgColor rgb="00FFF2CC"/>
      </patternFill>
    </fill>
    <fill>
      <patternFill patternType="solid">
        <fgColor rgb="001F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2" fillId="3" borderId="1" applyAlignment="1" pivotButton="0" quotePrefix="0" xfId="0">
      <alignment vertical="top" wrapText="1"/>
    </xf>
    <xf numFmtId="0" fontId="5" fillId="4"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164" fontId="4" fillId="2" borderId="1" applyAlignment="1" pivotButton="0" quotePrefix="0" xfId="0">
      <alignment vertical="top" wrapText="1"/>
    </xf>
    <xf numFmtId="0" fontId="2"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Normal" xfId="0" builtinId="0" hidden="0"/>
  </cellStyles>
  <dxfs count="3">
    <dxf>
      <font>
        <color rgb="00006100"/>
      </font>
      <fill>
        <patternFill patternType="solid">
          <bgColor rgb="00C6EFCE"/>
        </patternFill>
      </fill>
    </dxf>
    <dxf>
      <font>
        <color rgb="009C0006"/>
      </font>
      <fill>
        <patternFill patternType="solid">
          <bgColor rgb="00FFC7CE"/>
        </patternFill>
      </fill>
    </dxf>
    <dxf>
      <font>
        <color rgb="009C5700"/>
      </font>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6" customWidth="1" min="1" max="1"/>
    <col width="34" customWidth="1" min="2" max="2"/>
    <col width="10" customWidth="1" min="3" max="3"/>
    <col width="10" customWidth="1" min="4" max="4"/>
    <col width="10" customWidth="1" min="5" max="5"/>
    <col width="10" customWidth="1" min="6" max="6"/>
    <col width="22" customWidth="1" min="7" max="7"/>
  </cols>
  <sheetData>
    <row r="1">
      <c r="A1" s="1" t="inlineStr">
        <is>
          <t>Black-Box Test Cases: Rider Modules (R1–R7)</t>
        </is>
      </c>
    </row>
    <row r="2">
      <c r="A2" s="2" t="inlineStr">
        <is>
          <t>Multi-role e-commerce and logistics platform (Buyer, Seller, Logistics, Rider)</t>
        </is>
      </c>
    </row>
    <row r="4">
      <c r="A4" s="3" t="inlineStr">
        <is>
          <t>Test run details</t>
        </is>
      </c>
    </row>
    <row r="5">
      <c r="A5" s="4" t="inlineStr">
        <is>
          <t>System under test</t>
        </is>
      </c>
      <c r="B5" s="5" t="inlineStr">
        <is>
          <t xml:space="preserve">BoomBuy (boombuy.store)</t>
        </is>
      </c>
    </row>
    <row r="6">
      <c r="A6" s="4" t="inlineStr">
        <is>
          <t>Version / build</t>
        </is>
      </c>
      <c r="B6" s="5" t="inlineStr">
        <is>
          <t xml:space="preserve">Branch mobile-app, build a5a130d</t>
        </is>
      </c>
    </row>
    <row r="7">
      <c r="A7" s="4" t="inlineStr">
        <is>
          <t>Test environment (browser, device)</t>
        </is>
      </c>
      <c r="B7" s="5" t="inlineStr">
        <is>
          <t xml:space="preserve">Automated PHPUnit feature tests (Laravel, PHP 8.5) on Windows 11; Chrome-based browser for the pages</t>
        </is>
      </c>
    </row>
    <row r="8">
      <c r="A8" s="4" t="inlineStr">
        <is>
          <t>Tester</t>
        </is>
      </c>
      <c r="B8" s="5" t="n"/>
    </row>
    <row r="9">
      <c r="A9" s="4" t="inlineStr">
        <is>
          <t>Date tested</t>
        </is>
      </c>
      <c r="B9" s="5" t="inlineStr">
        <is>
          <t xml:space="preserve">2026-10-19</t>
        </is>
      </c>
    </row>
    <row r="11">
      <c r="A11" s="3" t="inlineStr">
        <is>
          <t>Results by module</t>
        </is>
      </c>
    </row>
    <row r="12">
      <c r="A12" s="6" t="inlineStr">
        <is>
          <t>Module (sheet)</t>
        </is>
      </c>
      <c r="B12" s="6" t="inlineStr">
        <is>
          <t>Total test cases</t>
        </is>
      </c>
      <c r="C12" s="6" t="inlineStr">
        <is>
          <t>Pass</t>
        </is>
      </c>
      <c r="D12" s="6" t="inlineStr">
        <is>
          <t>Fail</t>
        </is>
      </c>
      <c r="E12" s="6" t="inlineStr">
        <is>
          <t>Blocked</t>
        </is>
      </c>
      <c r="F12" s="6" t="inlineStr">
        <is>
          <t>Not Run</t>
        </is>
      </c>
      <c r="G12" s="6" t="inlineStr">
        <is>
          <t>Pass rate (Pass / Total)</t>
        </is>
      </c>
    </row>
    <row r="13">
      <c r="A13" s="7" t="inlineStr">
        <is>
          <t>R1 Profile &amp; Vehicle</t>
        </is>
      </c>
      <c r="B13" s="8">
        <f>COUNTA('R1 Profile &amp; Vehicle'!$A$2:$A$200)</f>
        <v/>
      </c>
      <c r="C13" s="8">
        <f>COUNTIF('R1 Profile &amp; Vehicle'!$L$2:$L$200,"Pass")</f>
        <v/>
      </c>
      <c r="D13" s="8">
        <f>COUNTIF('R1 Profile &amp; Vehicle'!$L$2:$L$200,"Fail")</f>
        <v/>
      </c>
      <c r="E13" s="8">
        <f>COUNTIF('R1 Profile &amp; Vehicle'!$L$2:$L$200,"Blocked")</f>
        <v/>
      </c>
      <c r="F13" s="8">
        <f>COUNTIF('R1 Profile &amp; Vehicle'!$L$2:$L$200,"Not Run")</f>
        <v/>
      </c>
      <c r="G13" s="9">
        <f>IF(B13=0,0,C13/B13)</f>
        <v/>
      </c>
    </row>
    <row r="14">
      <c r="A14" s="7" t="inlineStr">
        <is>
          <t>R2 Availability</t>
        </is>
      </c>
      <c r="B14" s="8">
        <f>COUNTA('R2 Availability'!$A$2:$A$200)</f>
        <v/>
      </c>
      <c r="C14" s="8">
        <f>COUNTIF('R2 Availability'!$L$2:$L$200,"Pass")</f>
        <v/>
      </c>
      <c r="D14" s="8">
        <f>COUNTIF('R2 Availability'!$L$2:$L$200,"Fail")</f>
        <v/>
      </c>
      <c r="E14" s="8">
        <f>COUNTIF('R2 Availability'!$L$2:$L$200,"Blocked")</f>
        <v/>
      </c>
      <c r="F14" s="8">
        <f>COUNTIF('R2 Availability'!$L$2:$L$200,"Not Run")</f>
        <v/>
      </c>
      <c r="G14" s="9">
        <f>IF(B14=0,0,C14/B14)</f>
        <v/>
      </c>
    </row>
    <row r="15">
      <c r="A15" s="7" t="inlineStr">
        <is>
          <t>R3 Job Assignment</t>
        </is>
      </c>
      <c r="B15" s="8">
        <f>COUNTA('R3 Job Assignment'!$A$2:$A$200)</f>
        <v/>
      </c>
      <c r="C15" s="8">
        <f>COUNTIF('R3 Job Assignment'!$L$2:$L$200,"Pass")</f>
        <v/>
      </c>
      <c r="D15" s="8">
        <f>COUNTIF('R3 Job Assignment'!$L$2:$L$200,"Fail")</f>
        <v/>
      </c>
      <c r="E15" s="8">
        <f>COUNTIF('R3 Job Assignment'!$L$2:$L$200,"Blocked")</f>
        <v/>
      </c>
      <c r="F15" s="8">
        <f>COUNTIF('R3 Job Assignment'!$L$2:$L$200,"Not Run")</f>
        <v/>
      </c>
      <c r="G15" s="9">
        <f>IF(B15=0,0,C15/B15)</f>
        <v/>
      </c>
    </row>
    <row r="16">
      <c r="A16" s="7" t="inlineStr">
        <is>
          <t>R4 Pickup</t>
        </is>
      </c>
      <c r="B16" s="8">
        <f>COUNTA('R4 Pickup'!$A$2:$A$200)</f>
        <v/>
      </c>
      <c r="C16" s="8">
        <f>COUNTIF('R4 Pickup'!$L$2:$L$200,"Pass")</f>
        <v/>
      </c>
      <c r="D16" s="8">
        <f>COUNTIF('R4 Pickup'!$L$2:$L$200,"Fail")</f>
        <v/>
      </c>
      <c r="E16" s="8">
        <f>COUNTIF('R4 Pickup'!$L$2:$L$200,"Blocked")</f>
        <v/>
      </c>
      <c r="F16" s="8">
        <f>COUNTIF('R4 Pickup'!$L$2:$L$200,"Not Run")</f>
        <v/>
      </c>
      <c r="G16" s="9">
        <f>IF(B16=0,0,C16/B16)</f>
        <v/>
      </c>
    </row>
    <row r="17">
      <c r="A17" s="7" t="inlineStr">
        <is>
          <t>R5 Delivery</t>
        </is>
      </c>
      <c r="B17" s="8">
        <f>COUNTA('R5 Delivery'!$A$2:$A$200)</f>
        <v/>
      </c>
      <c r="C17" s="8">
        <f>COUNTIF('R5 Delivery'!$L$2:$L$200,"Pass")</f>
        <v/>
      </c>
      <c r="D17" s="8">
        <f>COUNTIF('R5 Delivery'!$L$2:$L$200,"Fail")</f>
        <v/>
      </c>
      <c r="E17" s="8">
        <f>COUNTIF('R5 Delivery'!$L$2:$L$200,"Blocked")</f>
        <v/>
      </c>
      <c r="F17" s="8">
        <f>COUNTIF('R5 Delivery'!$L$2:$L$200,"Not Run")</f>
        <v/>
      </c>
      <c r="G17" s="9">
        <f>IF(B17=0,0,C17/B17)</f>
        <v/>
      </c>
    </row>
    <row r="18">
      <c r="A18" s="7" t="inlineStr">
        <is>
          <t>R6 Failed Delivery</t>
        </is>
      </c>
      <c r="B18" s="8">
        <f>COUNTA('R6 Failed Delivery'!$A$2:$A$200)</f>
        <v/>
      </c>
      <c r="C18" s="8">
        <f>COUNTIF('R6 Failed Delivery'!$L$2:$L$200,"Pass")</f>
        <v/>
      </c>
      <c r="D18" s="8">
        <f>COUNTIF('R6 Failed Delivery'!$L$2:$L$200,"Fail")</f>
        <v/>
      </c>
      <c r="E18" s="8">
        <f>COUNTIF('R6 Failed Delivery'!$L$2:$L$200,"Blocked")</f>
        <v/>
      </c>
      <c r="F18" s="8">
        <f>COUNTIF('R6 Failed Delivery'!$L$2:$L$200,"Not Run")</f>
        <v/>
      </c>
      <c r="G18" s="9">
        <f>IF(B18=0,0,C18/B18)</f>
        <v/>
      </c>
    </row>
    <row r="19">
      <c r="A19" s="7" t="inlineStr">
        <is>
          <t>R7 Earnings &amp; COD</t>
        </is>
      </c>
      <c r="B19" s="8">
        <f>COUNTA('R7 Earnings &amp; COD'!$A$2:$A$200)</f>
        <v/>
      </c>
      <c r="C19" s="8">
        <f>COUNTIF('R7 Earnings &amp; COD'!$L$2:$L$200,"Pass")</f>
        <v/>
      </c>
      <c r="D19" s="8">
        <f>COUNTIF('R7 Earnings &amp; COD'!$L$2:$L$200,"Fail")</f>
        <v/>
      </c>
      <c r="E19" s="8">
        <f>COUNTIF('R7 Earnings &amp; COD'!$L$2:$L$200,"Blocked")</f>
        <v/>
      </c>
      <c r="F19" s="8">
        <f>COUNTIF('R7 Earnings &amp; COD'!$L$2:$L$200,"Not Run")</f>
        <v/>
      </c>
      <c r="G19" s="9">
        <f>IF(B19=0,0,C19/B19)</f>
        <v/>
      </c>
    </row>
    <row r="20">
      <c r="A20" s="4" t="inlineStr">
        <is>
          <t>Total</t>
        </is>
      </c>
      <c r="B20" s="4">
        <f>SUM(B13:B19)</f>
        <v/>
      </c>
      <c r="C20" s="4">
        <f>SUM(C13:C19)</f>
        <v/>
      </c>
      <c r="D20" s="4">
        <f>SUM(D13:D19)</f>
        <v/>
      </c>
      <c r="E20" s="4">
        <f>SUM(E13:E19)</f>
        <v/>
      </c>
      <c r="F20" s="4">
        <f>SUM(F13:F19)</f>
        <v/>
      </c>
      <c r="G20" s="10">
        <f>IF(B20=0,0,C20/B20)</f>
        <v/>
      </c>
    </row>
    <row r="22">
      <c r="A22" s="3" t="inlineStr">
        <is>
          <t>How to use this workbook</t>
        </is>
      </c>
    </row>
    <row r="23" ht="16.75" customHeight="1">
      <c r="A23" s="11" t="inlineStr">
        <is>
          <t>1. Riders need orders that sellers have marked Ready for Pickup. Run with the Logistics test set.</t>
        </is>
      </c>
    </row>
    <row r="24" ht="29.5" customHeight="1">
      <c r="A24" s="11" t="inlineStr">
        <is>
          <t>2. Strict pass rule: a case passes only if EVERY point in its Expected Result is true. If any point is false, or something happens that the Expected Result does not mention (an extra record, a stock change, a wrong notification, a console error, a 500 page), mark it Fail.</t>
        </is>
      </c>
    </row>
    <row r="25" ht="29.5" customHeight="1">
      <c r="A25" s="11" t="inlineStr">
        <is>
          <t>3. Check side effects, not just the screen: after each case, confirm the stock, order status, voucher usage, balances and the other roles' views named in the Expected Result. 'Nothing is saved' means the record is missing after a page refresh.</t>
        </is>
      </c>
    </row>
    <row r="26" ht="29.5" customHeight="1">
      <c r="A26" s="11" t="inlineStr">
        <is>
          <t>4. Error messages must appear next to the field (or at the top of the form) and say what is wrong and how to fix it. A generic 'Something went wrong', a blank page, or a 500 error is a Fail even when the action was correctly blocked.</t>
        </is>
      </c>
    </row>
    <row r="27" ht="29.5" customHeight="1">
      <c r="A27" s="11" t="inlineStr">
        <is>
          <t>5. For 'Error Guessing' security cases, a correct block shows a 403 page, a 'not found' page or a redirect, and shows NO data from the other user's record anywhere on the page.</t>
        </is>
      </c>
    </row>
    <row r="28" ht="29.5" customHeight="1">
      <c r="A28" s="11" t="inlineStr">
        <is>
          <t>6. Read the Assumptions sheet first. Rules A2 to A8 are the seven rules the module plan says must be agreed before testing; adjust any case whose rule differs from your system.</t>
        </is>
      </c>
    </row>
    <row r="29" ht="29.5" customHeight="1">
      <c r="A29" s="11" t="inlineStr">
        <is>
          <t>7. Seed the accounts, products, vouchers and shipping rates on the Test Data sheet before running the cases. Emails use example.com; read them from a mail catcher such as Mailtrap.</t>
        </is>
      </c>
    </row>
    <row r="30" ht="16.75" customHeight="1">
      <c r="A30" s="11" t="inlineStr">
        <is>
          <t>8. Test Case IDs follow &lt;ROLE&gt;-&lt;MODULE&gt;-&lt;NNN&gt;. Each module has positive, negative and boundary cases.</t>
        </is>
      </c>
    </row>
    <row r="31" ht="16.75" customHeight="1">
      <c r="A31" s="11" t="inlineStr">
        <is>
          <t>9. Fill in only the yellow cells: Actual Result, Status and Remarks. Pick the Status from the dropdown (Pass, Fail, Blocked, Not Run).</t>
        </is>
      </c>
    </row>
    <row r="32" ht="29.5" customHeight="1">
      <c r="A32" s="11" t="inlineStr">
        <is>
          <t>10. Pass = actual matches expected. Fail = it does not (describe what happened and add a screenshot or bug number in Remarks). Blocked = the case could not be run, for example because an earlier case failed.</t>
        </is>
      </c>
    </row>
    <row r="33" ht="16.75" customHeight="1">
      <c r="A33" s="11" t="inlineStr">
        <is>
          <t>11. The Results by module table above updates automatically from the Status column.</t>
        </is>
      </c>
    </row>
    <row r="35">
      <c r="A35" s="3" t="inlineStr">
        <is>
          <t>Black-box techniques used</t>
        </is>
      </c>
    </row>
    <row r="36">
      <c r="A36" s="4" t="inlineStr">
        <is>
          <t>Equivalence Partitioning</t>
        </is>
      </c>
      <c r="B36" s="8" t="inlineStr">
        <is>
          <t>Inputs are grouped into valid and invalid classes, and one value from each class is tested.</t>
        </is>
      </c>
      <c r="C36" s="12" t="n"/>
      <c r="D36" s="12" t="n"/>
      <c r="E36" s="12" t="n"/>
      <c r="F36" s="12" t="n"/>
      <c r="G36" s="13" t="n"/>
    </row>
    <row r="37">
      <c r="A37" s="4" t="inlineStr">
        <is>
          <t>Boundary Value Analysis</t>
        </is>
      </c>
      <c r="B37" s="8" t="inlineStr">
        <is>
          <t>Values at and just beyond a limit are tested, for example ₱0.99, ₱1.00 and ₱1.01 for a ₱1.00 minimum price.</t>
        </is>
      </c>
      <c r="C37" s="12" t="n"/>
      <c r="D37" s="12" t="n"/>
      <c r="E37" s="12" t="n"/>
      <c r="F37" s="12" t="n"/>
      <c r="G37" s="13" t="n"/>
    </row>
    <row r="38">
      <c r="A38" s="4" t="inlineStr">
        <is>
          <t>Decision Table</t>
        </is>
      </c>
      <c r="B38" s="8" t="inlineStr">
        <is>
          <t>Combinations of conditions are tested, for example which vouchers can stack.</t>
        </is>
      </c>
      <c r="C38" s="12" t="n"/>
      <c r="D38" s="12" t="n"/>
      <c r="E38" s="12" t="n"/>
      <c r="F38" s="12" t="n"/>
      <c r="G38" s="13" t="n"/>
    </row>
    <row r="39">
      <c r="A39" s="4" t="inlineStr">
        <is>
          <t>State Transition</t>
        </is>
      </c>
      <c r="B39" s="8" t="inlineStr">
        <is>
          <t>Changes in order or shipment status are tested, including transitions that must be blocked.</t>
        </is>
      </c>
      <c r="C39" s="12" t="n"/>
      <c r="D39" s="12" t="n"/>
      <c r="E39" s="12" t="n"/>
      <c r="F39" s="12" t="n"/>
      <c r="G39" s="13" t="n"/>
    </row>
    <row r="40">
      <c r="A40" s="4" t="inlineStr">
        <is>
          <t>Use Case Testing</t>
        </is>
      </c>
      <c r="B40" s="8" t="inlineStr">
        <is>
          <t>A complete user flow is tested from start to finish with valid data.</t>
        </is>
      </c>
      <c r="C40" s="12" t="n"/>
      <c r="D40" s="12" t="n"/>
      <c r="E40" s="12" t="n"/>
      <c r="F40" s="12" t="n"/>
      <c r="G40" s="13" t="n"/>
    </row>
    <row r="41">
      <c r="A41" s="4" t="inlineStr">
        <is>
          <t>Error Guessing</t>
        </is>
      </c>
      <c r="B41" s="8" t="inlineStr">
        <is>
          <t>Likely mistakes are tested based on experience, for example double-clicking Place Order or editing an ID in the URL.</t>
        </is>
      </c>
      <c r="C41" s="12" t="n"/>
      <c r="D41" s="12" t="n"/>
      <c r="E41" s="12" t="n"/>
      <c r="F41" s="12" t="n"/>
      <c r="G41" s="13" t="n"/>
    </row>
  </sheetData>
  <mergeCells count="17">
    <mergeCell ref="A32:G32"/>
    <mergeCell ref="B38:G38"/>
    <mergeCell ref="A27:G27"/>
    <mergeCell ref="A31:G31"/>
    <mergeCell ref="B36:G36"/>
    <mergeCell ref="B37:G37"/>
    <mergeCell ref="B41:G41"/>
    <mergeCell ref="A26:G26"/>
    <mergeCell ref="A24:G24"/>
    <mergeCell ref="A30:G30"/>
    <mergeCell ref="B40:G40"/>
    <mergeCell ref="A29:G29"/>
    <mergeCell ref="A25:G25"/>
    <mergeCell ref="A33:G33"/>
    <mergeCell ref="B39:G39"/>
    <mergeCell ref="A28:G28"/>
    <mergeCell ref="A23:G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pane ySplit="4" topLeftCell="A5" activePane="bottomLeft" state="frozen"/>
      <selection pane="bottomLeft" activeCell="A1" sqref="A1"/>
    </sheetView>
  </sheetViews>
  <sheetFormatPr baseColWidth="8" defaultRowHeight="15"/>
  <cols>
    <col width="8" customWidth="1" min="1" max="1"/>
    <col width="28" customWidth="1" min="2" max="2"/>
    <col width="95" customWidth="1" min="3" max="3"/>
    <col width="38" customWidth="1" min="4" max="4"/>
  </cols>
  <sheetData>
    <row r="1">
      <c r="A1" s="1" t="inlineStr">
        <is>
          <t>Assumptions used in the test cases</t>
        </is>
      </c>
    </row>
    <row r="2" ht="42" customHeight="1">
      <c r="A2" s="11" t="inlineStr">
        <is>
          <t>These rules are assumptions modeled on Philippine marketplaces, not taken from your actual system. Rules A2 to A8 are the seven rules the module plan says must be agreed before testing; A25 to A37 fix the limits the strict expected results depend on. Write your real rule in column D where it differs, then filter the Assumption Ref column on each module sheet to find the test cases to adjust.</t>
        </is>
      </c>
    </row>
    <row r="4">
      <c r="A4" s="6" t="inlineStr">
        <is>
          <t>Ref</t>
        </is>
      </c>
      <c r="B4" s="6" t="inlineStr">
        <is>
          <t>Topic</t>
        </is>
      </c>
      <c r="C4" s="6" t="inlineStr">
        <is>
          <t>Assumed rule</t>
        </is>
      </c>
      <c r="D4" s="6" t="inlineStr">
        <is>
          <t>Your system's actual rule (fill in if different)</t>
        </is>
      </c>
    </row>
    <row r="5" ht="55" customHeight="1">
      <c r="A5" s="7" t="inlineStr">
        <is>
          <t>A1</t>
        </is>
      </c>
      <c r="B5" s="7" t="inlineStr">
        <is>
          <t>Test accounts</t>
        </is>
      </c>
      <c r="C5" s="8" t="inlineStr">
        <is>
          <t>The accounts on the Test Data sheet already exist and are Active or Approved (they are the accounts created in the Account Creation test set). Seller 3 is Pending Approval and Rider 3 is Suspended, for the negative cases. Reset the seeded products, stock and vouchers to their Test Data values before each module.</t>
        </is>
      </c>
      <c r="D5" s="5" t="inlineStr">
        <is>
          <t xml:space="preserve">Same accounts, seeded by the automated tests (ModuleSheetWorld): Riders 1-3 under Logistics 1 (Bilis Hatid Express Inc., Quezon City Sorting Center); Rider 3 Suspended.</t>
        </is>
      </c>
    </row>
    <row r="6" ht="29.5" customHeight="1">
      <c r="A6" s="7" t="inlineStr">
        <is>
          <t>A2</t>
        </is>
      </c>
      <c r="B6" s="7" t="inlineStr">
        <is>
          <t>Voucher stacking (rule 1)</t>
        </is>
      </c>
      <c r="C6" s="8" t="inlineStr">
        <is>
          <t>Per order: at most 1 store voucher per store, plus 1 platform voucher, plus 1 shipping voucher. Selecting a second voucher of the same type replaces the first; it never stacks.</t>
        </is>
      </c>
      <c r="D6" s="5" t="n"/>
    </row>
    <row r="7" ht="42.25" customHeight="1">
      <c r="A7" s="7" t="inlineStr">
        <is>
          <t>A3</t>
        </is>
      </c>
      <c r="B7" s="7" t="inlineStr">
        <is>
          <t>Stock deduction (rule 2)</t>
        </is>
      </c>
      <c r="C7" s="8" t="inlineStr">
        <is>
          <t>Stock is deducted when the order is placed, for every payment method. It is restored when the order is cancelled (by buyer, seller or auto-cancel). For a Return-to-Sender or returned parcel, stock is restored when the seller confirms receipt. Stock can never go below 0.</t>
        </is>
      </c>
      <c r="D7" s="5" t="n"/>
    </row>
    <row r="8" ht="29.5" customHeight="1">
      <c r="A8" s="7" t="inlineStr">
        <is>
          <t>A4</t>
        </is>
      </c>
      <c r="B8" s="7" t="inlineStr">
        <is>
          <t>Sale + voucher (rule 3)</t>
        </is>
      </c>
      <c r="C8" s="8" t="inlineStr">
        <is>
          <t>Vouchers apply to items already on sale. Minimum spend is checked against the price actually paid (the sale or flash price), not the original price.</t>
        </is>
      </c>
      <c r="D8" s="5" t="n"/>
    </row>
    <row r="9" ht="55" customHeight="1">
      <c r="A9" s="7" t="inlineStr">
        <is>
          <t>A5</t>
        </is>
      </c>
      <c r="B9" s="7" t="inlineStr">
        <is>
          <t>Flash sales (rule 4)</t>
        </is>
      </c>
      <c r="C9" s="8" t="inlineStr">
        <is>
          <t>Sellers create flash sales for their own products in fixed time slots. When a product is in both a store sale and a flash sale, the flash price wins while flash quantity remains. Units beyond the remaining flash quantity in the same order are charged at the store sale price, or the regular price if there is no sale, and are shown on a separate line.</t>
        </is>
      </c>
      <c r="D9" s="5" t="n"/>
    </row>
    <row r="10" ht="42.25" customHeight="1">
      <c r="A10" s="7" t="inlineStr">
        <is>
          <t>A6</t>
        </is>
      </c>
      <c r="B10" s="7" t="inlineStr">
        <is>
          <t>Cancellation window and auto-cancel (rule 5)</t>
        </is>
      </c>
      <c r="C10" s="8" t="inlineStr">
        <is>
          <t>A buyer can cancel until the seller marks the order Ready for Pickup; after that there is no cancel option at all. A seller can cancel until the parcel is Picked Up. Unpaid e-wallet or card orders auto-cancel exactly 1 hour after the order is placed.</t>
        </is>
      </c>
      <c r="D10" s="5" t="n"/>
    </row>
    <row r="11" ht="29.5" customHeight="1">
      <c r="A11" s="7" t="inlineStr">
        <is>
          <t>A7</t>
        </is>
      </c>
      <c r="B11" s="7" t="inlineStr">
        <is>
          <t>Variation limits and category depth (rule 6)</t>
        </is>
      </c>
      <c r="C11" s="8" t="inlineStr">
        <is>
          <t>A product has at most 2 variation types, with 1 to 20 options per type. Store categories have at most 2 levels (category and subcategory). A product can belong to up to 3 store categories.</t>
        </is>
      </c>
      <c r="D11" s="5" t="n"/>
    </row>
    <row r="12" ht="80.5" customHeight="1">
      <c r="A12" s="7" t="inlineStr">
        <is>
          <t>A8</t>
        </is>
      </c>
      <c r="B12" s="7" t="inlineStr">
        <is>
          <t>Voucher funding (rule 7)</t>
        </is>
      </c>
      <c r="C12" s="8" t="inlineStr">
        <is>
          <t>Store vouchers, sale discounts, flash sales and bundle discounts are seller-funded. Platform vouchers and shipping vouchers are platform-funded and never reduce the seller's earnings. A platform voucher on a multi-store checkout is split across the store orders in proportion to each store's merchandise subtotal, rounded to the centavo, with any rounding remainder given to the largest store. When only some items in an order are refunded, the store voucher is split across the items in proportion to their price, and the refund is the item price minus its voucher share.</t>
        </is>
      </c>
      <c r="D12" s="5" t="n"/>
    </row>
    <row r="13" ht="29.5" customHeight="1">
      <c r="A13" s="7" t="inlineStr">
        <is>
          <t>A9</t>
        </is>
      </c>
      <c r="B13" s="7" t="inlineStr">
        <is>
          <t>Platform commission and rounding</t>
        </is>
      </c>
      <c r="C13" s="8" t="inlineStr">
        <is>
          <t>Commission is 5% of the item subtotal after seller-funded discounts. Shipping fees are not part of the seller's gross sales. All money is rounded to 2 decimals (half up) per order.</t>
        </is>
      </c>
      <c r="D13" s="5" t="n"/>
    </row>
    <row r="14" ht="55" customHeight="1">
      <c r="A14" s="7" t="inlineStr">
        <is>
          <t>A10</t>
        </is>
      </c>
      <c r="B14" s="7" t="inlineStr">
        <is>
          <t>Order status flow</t>
        </is>
      </c>
      <c r="C14" s="8" t="inlineStr">
        <is>
          <t>Buyer tabs: To Pay → To Ship → To Receive → Completed (or Cancelled, Return/Refund). Seller: New → Accepted → Packed → Ready for Pickup. Shipment: Ready for Pickup → Assigned → Picked Up → At Hub → Out for Delivery → Delivered (or Failed Delivery → Return to Sender → Returned to Sender). No status can be skipped or moved backwards except by a logged Logistics override.</t>
        </is>
      </c>
      <c r="D14" s="5" t="inlineStr">
        <is>
          <t xml:space="preserve">BoomBuy status names (ERP Flow): Assigned = Pickup Assigned / Assigned for Delivery, At Hub = At Sorting Center, Failed Delivery = Delivery Failed, Return to Sender is shown for a refused parcel or the 3rd failed attempt.</t>
        </is>
      </c>
    </row>
    <row r="15" ht="42.25" customHeight="1">
      <c r="A15" s="7" t="inlineStr">
        <is>
          <t>A11</t>
        </is>
      </c>
      <c r="B15" s="7" t="inlineStr">
        <is>
          <t>Order completion and return window</t>
        </is>
      </c>
      <c r="C15" s="8" t="inlineStr">
        <is>
          <t>The buyer clicks Order Received, or the order completes automatically 7 days (168 hours) after Delivered. A return or refund can be requested only after Delivered, within those 7 days and before the order is Completed.</t>
        </is>
      </c>
      <c r="D15" s="5" t="n"/>
    </row>
    <row r="16" ht="55" customHeight="1">
      <c r="A16" s="7" t="inlineStr">
        <is>
          <t>A12</t>
        </is>
      </c>
      <c r="B16" s="7" t="inlineStr">
        <is>
          <t>Reviews</t>
        </is>
      </c>
      <c r="C16" s="8" t="inlineStr">
        <is>
          <t>A review is allowed only for Completed orders, within 30 days of completion, one review per item. Stars (1–5) are required; text is optional, up to 500 characters; up to 5 photos. It can be edited once within the 30 days. The seller can post one reply per review and edit it; the seller cannot delete or hide a buyer's review.</t>
        </is>
      </c>
      <c r="D16" s="5" t="n"/>
    </row>
    <row r="17" ht="42.25" customHeight="1">
      <c r="A17" s="7" t="inlineStr">
        <is>
          <t>A13</t>
        </is>
      </c>
      <c r="B17" s="7" t="inlineStr">
        <is>
          <t>Failed delivery</t>
        </is>
      </c>
      <c r="C17" s="8" t="inlineStr">
        <is>
          <t>Up to 3 delivery attempts. A reason from the list (Buyer not home, Wrong address, Refused) is required for every failed attempt. After the 3rd failed attempt, or immediately when the reason is Refused, the parcel is marked Return to Sender.</t>
        </is>
      </c>
      <c r="D17" s="5" t="inlineStr">
        <is>
          <t xml:space="preserve">Same rule (3 attempts; Refused = straight to Return to Sender). BoomBuy reason list: Buyer not available (= not home), Buyer unreachable by phone, Wrong or incomplete address, Buyer refused the parcel (= Refused), Other.</t>
        </is>
      </c>
    </row>
    <row r="18" ht="42.25" customHeight="1">
      <c r="A18" s="7" t="inlineStr">
        <is>
          <t>A14</t>
        </is>
      </c>
      <c r="B18" s="7" t="inlineStr">
        <is>
          <t>Rider job rules</t>
        </is>
      </c>
      <c r="C18" s="8" t="inlineStr">
        <is>
          <t>A job offer expires after 60 seconds. A declined or expired offer goes to the next nearest eligible rider; after 3 riders decline or let it expire, the job goes to the Unassigned queue for manual assignment. A rider holds at most 3 active jobs. Only Active, Online riders receive offers.</t>
        </is>
      </c>
      <c r="D18" s="5" t="inlineStr">
        <is>
          <t xml:space="preserve">Same rule. 'Nearest' = the rider whose delivery area is the seller's town, then the seller's province, then fewest jobs. Riders can still also accept pickups from their 'Pickup requests near you' list (ERP).</t>
        </is>
      </c>
    </row>
    <row r="19" ht="42.25" customHeight="1">
      <c r="A19" s="7" t="inlineStr">
        <is>
          <t>A15</t>
        </is>
      </c>
      <c r="B19" s="7" t="inlineStr">
        <is>
          <t>Seller earnings and payout</t>
        </is>
      </c>
      <c r="C19" s="8" t="inlineStr">
        <is>
          <t>Earnings move from Pending to Available only when an order is Completed. Cancelled, returned and refunded amounts are excluded. A payout request must be at least ₱100.00 and no more than the Available balance, and only one payout request can be pending at a time.</t>
        </is>
      </c>
      <c r="D19" s="5" t="n"/>
    </row>
    <row r="20" ht="29.5" customHeight="1">
      <c r="A20" s="7" t="inlineStr">
        <is>
          <t>A16</t>
        </is>
      </c>
      <c r="B20" s="7" t="inlineStr">
        <is>
          <t>Image upload rule</t>
        </is>
      </c>
      <c r="C20" s="8" t="inlineStr">
        <is>
          <t>Product, logo, banner, review, return, chat and proof-of-delivery images: JPG or PNG only (checked by file content, not just the extension), maximum 5 MB each. A product has 1 to 9 images.</t>
        </is>
      </c>
      <c r="D20" s="5" t="n"/>
    </row>
    <row r="21" ht="29.5" customHeight="1">
      <c r="A21" s="7" t="inlineStr">
        <is>
          <t>A17</t>
        </is>
      </c>
      <c r="B21" s="7" t="inlineStr">
        <is>
          <t>Price and quantity rule</t>
        </is>
      </c>
      <c r="C21" s="8" t="inlineStr">
        <is>
          <t>Prices range from ₱1.00 to ₱1,000,000.00 with up to 2 decimal places. Stock and quantities are whole numbers from 0 to 99,999.</t>
        </is>
      </c>
      <c r="D21" s="5" t="n"/>
    </row>
    <row r="22" ht="42.25" customHeight="1">
      <c r="A22" s="7" t="inlineStr">
        <is>
          <t>A18</t>
        </is>
      </c>
      <c r="B22" s="7" t="inlineStr">
        <is>
          <t>Store vacation and verification</t>
        </is>
      </c>
      <c r="C22" s="8" t="inlineStr">
        <is>
          <t>In vacation mode, products stay visible but Add to Cart and Buy Now are disabled with an 'On vacation' label, and checkout of items already in carts is blocked. A seller that is not Approved can save products only as drafts and cannot publish.</t>
        </is>
      </c>
      <c r="D22" s="5" t="n"/>
    </row>
    <row r="23" ht="55" customHeight="1">
      <c r="A23" s="7" t="inlineStr">
        <is>
          <t>A19</t>
        </is>
      </c>
      <c r="B23" s="7" t="inlineStr">
        <is>
          <t>Deleting categories and products</t>
        </is>
      </c>
      <c r="C23" s="8" t="inlineStr">
        <is>
          <t>Deleting a store category that still has products moves those products to 'Uncategorized'. Deleting a parent category also deletes its subcategories. A product or a variant with unfinished orders cannot be deleted; other deletes are soft deletes, so order history still shows the product's name, image and price.</t>
        </is>
      </c>
      <c r="D23" s="5" t="n"/>
    </row>
    <row r="24" ht="42.25" customHeight="1">
      <c r="A24" s="7" t="inlineStr">
        <is>
          <t>A20</t>
        </is>
      </c>
      <c r="B24" s="7" t="inlineStr">
        <is>
          <t>Shipping fee</t>
        </is>
      </c>
      <c r="C24" s="8" t="inlineStr">
        <is>
          <t>Shipping is charged per store, using the rate table on the Test Data sheet. Chargeable weight is the total actual weight of that store's items in the order, rounded up to the next whole kg. Rate changes apply only to checkouts started after the change.</t>
        </is>
      </c>
      <c r="D24" s="5" t="n"/>
    </row>
    <row r="25" ht="29.5" customHeight="1">
      <c r="A25" s="7" t="inlineStr">
        <is>
          <t>A21</t>
        </is>
      </c>
      <c r="B25" s="7" t="inlineStr">
        <is>
          <t>Voucher return on cancellation</t>
        </is>
      </c>
      <c r="C25" s="8" t="inlineStr">
        <is>
          <t>A voucher used on a cancelled order is returned to the buyer's wallet if it has not yet expired, and its usage count is reduced by 1. A voucher is not returned for a refunded (returned) order.</t>
        </is>
      </c>
      <c r="D25" s="5" t="n"/>
    </row>
    <row r="26" ht="42.25" customHeight="1">
      <c r="A26" s="7" t="inlineStr">
        <is>
          <t>A22</t>
        </is>
      </c>
      <c r="B26" s="7" t="inlineStr">
        <is>
          <t>Session and access</t>
        </is>
      </c>
      <c r="C26" s="8" t="inlineStr">
        <is>
          <t>Each role can open only its own pages; other roles get 403 or a redirect, for both pages and direct API requests. Users can open only their own records (orders, products, shipments, riders). A session expires after 30 minutes of inactivity.</t>
        </is>
      </c>
      <c r="D26" s="5" t="inlineStr">
        <is>
          <t xml:space="preserve">A rider sees and updates only their own jobs and profile; other riders' or companies' records are refused (403, not found or an error message).</t>
        </is>
      </c>
    </row>
    <row r="27" ht="29.5" customHeight="1">
      <c r="A27" s="7" t="inlineStr">
        <is>
          <t>A23</t>
        </is>
      </c>
      <c r="B27" s="7" t="inlineStr">
        <is>
          <t>Notifications</t>
        </is>
      </c>
      <c r="C27" s="8" t="inlineStr">
        <is>
          <t>Every order or shipment status change sends an in-app notification to each role involved, and to no one else. Emails use example.com and are read from the mail catcher.</t>
        </is>
      </c>
      <c r="D27" s="5" t="n"/>
    </row>
    <row r="28" ht="42.25" customHeight="1">
      <c r="A28" s="7" t="inlineStr">
        <is>
          <t>A24</t>
        </is>
      </c>
      <c r="B28" s="7" t="inlineStr">
        <is>
          <t>COD remittance</t>
        </is>
      </c>
      <c r="C28" s="8" t="inlineStr">
        <is>
          <t>Riders remit the full COD collected to their logistics company by the end of the day. Only the logistics company can confirm a remittance. Any difference between collected and remitted COD is flagged on the reconciliation screen.</t>
        </is>
      </c>
      <c r="D28" s="5" t="n"/>
    </row>
    <row r="29" ht="55" customHeight="1">
      <c r="A29" s="7" t="inlineStr">
        <is>
          <t>A25</t>
        </is>
      </c>
      <c r="B29" s="7" t="inlineStr">
        <is>
          <t>Text field limits</t>
        </is>
      </c>
      <c r="C29" s="8" t="inlineStr">
        <is>
          <t>Store name 3–30 characters (unique, not case-sensitive, spaces trimmed). Store description up to 500. Store category name 1–50 (unique per store, not case-sensitive, trimmed). Product name 5–120. Product description 20–3,000. Note to seller up to 200. Chat message 1–1,000. Free-text reasons (cancel, reject, override, suspend) 10–300. HTML or script entered in any field is shown as plain text.</t>
        </is>
      </c>
      <c r="D29" s="5" t="n"/>
    </row>
    <row r="30" ht="29.5" customHeight="1">
      <c r="A30" s="7" t="inlineStr">
        <is>
          <t>A26</t>
        </is>
      </c>
      <c r="B30" s="7" t="inlineStr">
        <is>
          <t>Voucher code rule</t>
        </is>
      </c>
      <c r="C30" s="8" t="inlineStr">
        <is>
          <t>4 to 12 letters and digits, no spaces or symbols, saved in uppercase. Codes are unique across the whole platform. Buyers can type the code in any case.</t>
        </is>
      </c>
      <c r="D30" s="5" t="n"/>
    </row>
    <row r="31" ht="42.25" customHeight="1">
      <c r="A31" s="7" t="inlineStr">
        <is>
          <t>A27</t>
        </is>
      </c>
      <c r="B31" s="7" t="inlineStr">
        <is>
          <t>Editing vouchers after claim</t>
        </is>
      </c>
      <c r="C31" s="8" t="inlineStr">
        <is>
          <t>Once any buyer has claimed a voucher, the seller can only extend its end date or raise its usage limit; all other fields are locked. Ending a voucher removes it from the wallets of buyers who have not used it; orders already placed keep their discount.</t>
        </is>
      </c>
      <c r="D31" s="5" t="n"/>
    </row>
    <row r="32" ht="42.25" customHeight="1">
      <c r="A32" s="7" t="inlineStr">
        <is>
          <t>A28</t>
        </is>
      </c>
      <c r="B32" s="7" t="inlineStr">
        <is>
          <t>Store sales</t>
        </is>
      </c>
      <c r="C32" s="8" t="inlineStr">
        <is>
          <t>A product can be in only one store sale at a time; overlapping schedules are rejected. A running sale's discount can be edited and applies immediately to new orders; End Now ends it at once. Orders already placed keep the price paid.</t>
        </is>
      </c>
      <c r="D32" s="5" t="n"/>
    </row>
    <row r="33" ht="29.5" customHeight="1">
      <c r="A33" s="7" t="inlineStr">
        <is>
          <t>A29</t>
        </is>
      </c>
      <c r="B33" s="7" t="inlineStr">
        <is>
          <t>Low-stock alert</t>
        </is>
      </c>
      <c r="C33" s="8" t="inlineStr">
        <is>
          <t>An alert is shown when a product's or variant's stock reaches 5 or fewer, once per crossing (it does not repeat until stock goes above 5 and drops again).</t>
        </is>
      </c>
      <c r="D33" s="5" t="n"/>
    </row>
    <row r="34" ht="42.25" customHeight="1">
      <c r="A34" s="7" t="inlineStr">
        <is>
          <t>A30</t>
        </is>
      </c>
      <c r="B34" s="7" t="inlineStr">
        <is>
          <t>Address book</t>
        </is>
      </c>
      <c r="C34" s="8" t="inlineStr">
        <is>
          <t>Up to 10 addresses per buyer. The default address cannot be deleted until another address is made default. Orders keep a copy of the address at order time, so editing or deleting an address does not change existing orders.</t>
        </is>
      </c>
      <c r="D34" s="5" t="n"/>
    </row>
    <row r="35" ht="55" customHeight="1">
      <c r="A35" s="7" t="inlineStr">
        <is>
          <t>A31</t>
        </is>
      </c>
      <c r="B35" s="7" t="inlineStr">
        <is>
          <t>Return and refund requests</t>
        </is>
      </c>
      <c r="C35" s="8" t="inlineStr">
        <is>
          <t>Reason from the list, a description of 10–500 characters, and 1 to 5 photos (JPG or PNG, 5 MB each) are required. The seller must respond within 3 days or the request is auto-approved. A rejected request can be escalated to a dispute once, within 3 days. The refund goes to the original payment method; for COD orders, to the buyer's refund account.</t>
        </is>
      </c>
      <c r="D35" s="5" t="n"/>
    </row>
    <row r="36" ht="42.25" customHeight="1">
      <c r="A36" s="7" t="inlineStr">
        <is>
          <t>A32</t>
        </is>
      </c>
      <c r="B36" s="7" t="inlineStr">
        <is>
          <t>Proof of delivery</t>
        </is>
      </c>
      <c r="C36" s="8" t="inlineStr">
        <is>
          <t>Delivered needs a photo (JPG or PNG) and the 6-digit delivery OTP shown in the buyer's app once the parcel is Out for Delivery. After 5 wrong OTP entries, OTP entry on that job is locked for 15 minutes.</t>
        </is>
      </c>
      <c r="D36" s="5" t="inlineStr">
        <is>
          <t xml:space="preserve">Same rule: the 6-digit OTP shows in the buyer's order once Out for Delivery; 5 wrong entries lock OTP entry for 15 minutes.</t>
        </is>
      </c>
    </row>
    <row r="37" ht="29.5" customHeight="1">
      <c r="A37" s="7" t="inlineStr">
        <is>
          <t>A33</t>
        </is>
      </c>
      <c r="B37" s="7" t="inlineStr">
        <is>
          <t>Rider pay</t>
        </is>
      </c>
      <c r="C37" s="8" t="inlineStr">
        <is>
          <t>₱50.00 per successful delivery, ₱30.00 per completed pickup, ₱0.00 for a failed attempt. Pay is not reduced by COD.</t>
        </is>
      </c>
      <c r="D37" s="5" t="inlineStr">
        <is>
          <t xml:space="preserve">Rider pay: ₱30.00 per pickup; a delivery earns the platform base delivery fee (₱50.00 with the sheet's rates); ₱0.00 for a failed attempt.</t>
        </is>
      </c>
    </row>
    <row r="38" ht="55" customHeight="1">
      <c r="A38" s="7" t="inlineStr">
        <is>
          <t>A34</t>
        </is>
      </c>
      <c r="B38" s="7" t="inlineStr">
        <is>
          <t>Dispatch and reassignment</t>
        </is>
      </c>
      <c r="C38" s="8" t="inlineStr">
        <is>
          <t>Auto-assign offers a job to the nearest Online, Active rider of the same company with fewer than 3 active jobs. Logistics can reassign a job only before it is Picked Up. Suspending a rider returns their not-yet-picked-up jobs to the Unassigned queue; parcels already picked up stay with that rider.</t>
        </is>
      </c>
      <c r="D38" s="5" t="n"/>
    </row>
    <row r="39" ht="42.25" customHeight="1">
      <c r="A39" s="7" t="inlineStr">
        <is>
          <t>A35</t>
        </is>
      </c>
      <c r="B39" s="7" t="inlineStr">
        <is>
          <t>Audit log</t>
        </is>
      </c>
      <c r="C39" s="8" t="inlineStr">
        <is>
          <t>Every manual status override, rider approval or suspension, rate change and remittance confirmation is logged with user, date and time, old value, new value and reason. Log entries cannot be edited or deleted from the UI.</t>
        </is>
      </c>
      <c r="D39" s="5" t="n"/>
    </row>
    <row r="40" ht="29.5" customHeight="1">
      <c r="A40" s="7" t="inlineStr">
        <is>
          <t>A36</t>
        </is>
      </c>
      <c r="B40" s="7" t="inlineStr">
        <is>
          <t>Report export</t>
        </is>
      </c>
      <c r="C40" s="8" t="inlineStr">
        <is>
          <t>Reports export as CSV and XLSX. Exported rows and totals equal the on-screen rows and totals for the same filter.</t>
        </is>
      </c>
      <c r="D40" s="5" t="n"/>
    </row>
    <row r="41" ht="42.25" customHeight="1">
      <c r="A41" s="7" t="inlineStr">
        <is>
          <t>A37</t>
        </is>
      </c>
      <c r="B41" s="7" t="inlineStr">
        <is>
          <t>Duplicate submissions</t>
        </is>
      </c>
      <c r="C41" s="8" t="inlineStr">
        <is>
          <t>Every create or submit action (Publish, Place Order, Pay, Request Payout, Accept job, Remit, Confirm) is idempotent: double-clicking, pressing Enter twice, refreshing or pressing Back and resubmitting never creates a second record or a second charge.</t>
        </is>
      </c>
      <c r="D41" s="5" t="n"/>
    </row>
  </sheetData>
  <mergeCells count="1">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3"/>
  <sheetViews>
    <sheetView workbookViewId="0">
      <selection activeCell="A1" sqref="A1"/>
    </sheetView>
  </sheetViews>
  <sheetFormatPr baseColWidth="8" defaultRowHeight="15"/>
  <cols>
    <col width="12" customWidth="1" min="1" max="1"/>
    <col width="30" customWidth="1" min="2" max="2"/>
    <col width="40" customWidth="1" min="3" max="3"/>
    <col width="40" customWidth="1" min="4" max="4"/>
    <col width="22" customWidth="1" min="5" max="5"/>
    <col width="44" customWidth="1" min="6" max="6"/>
  </cols>
  <sheetData>
    <row r="1">
      <c r="A1" s="1" t="inlineStr">
        <is>
          <t>Test data</t>
        </is>
      </c>
    </row>
    <row r="2" ht="30" customHeight="1">
      <c r="A2" s="11" t="inlineStr">
        <is>
          <t>Shared by all five module workbooks. All people, stores, numbers and addresses are fictional. Seed these products, vouchers and rates before testing, or replace them with your own and update the Test Data column on the module sheets.</t>
        </is>
      </c>
    </row>
    <row r="4">
      <c r="A4" s="3" t="inlineStr">
        <is>
          <t>Accounts (created in the Account Creation test set)</t>
        </is>
      </c>
    </row>
    <row r="5">
      <c r="A5" s="6" t="inlineStr">
        <is>
          <t>Ref</t>
        </is>
      </c>
      <c r="B5" s="6" t="inlineStr">
        <is>
          <t>Role</t>
        </is>
      </c>
      <c r="C5" s="6" t="inlineStr">
        <is>
          <t>Name / store</t>
        </is>
      </c>
      <c r="D5" s="6" t="inlineStr">
        <is>
          <t>Login email</t>
        </is>
      </c>
      <c r="E5" s="6" t="inlineStr">
        <is>
          <t>Password</t>
        </is>
      </c>
      <c r="F5" s="6" t="inlineStr">
        <is>
          <t>Status / notes</t>
        </is>
      </c>
    </row>
    <row r="6" ht="16.75" customHeight="1">
      <c r="A6" s="4" t="inlineStr">
        <is>
          <t>Buyer 1</t>
        </is>
      </c>
      <c r="B6" s="8" t="inlineStr">
        <is>
          <t>Buyer</t>
        </is>
      </c>
      <c r="C6" s="8" t="inlineStr">
        <is>
          <t>Juan Miguel Dela Cruz</t>
        </is>
      </c>
      <c r="D6" s="8" t="inlineStr">
        <is>
          <t>juanmiguel.delacruz@example.com</t>
        </is>
      </c>
      <c r="E6" s="8" t="inlineStr">
        <is>
          <t>Mamimili@2026</t>
        </is>
      </c>
      <c r="F6" s="8" t="inlineStr">
        <is>
          <t>Active. Main buyer.</t>
        </is>
      </c>
    </row>
    <row r="7" ht="29.5" customHeight="1">
      <c r="A7" s="4" t="inlineStr">
        <is>
          <t>Buyer 2</t>
        </is>
      </c>
      <c r="B7" s="8" t="inlineStr">
        <is>
          <t>Buyer</t>
        </is>
      </c>
      <c r="C7" s="8" t="inlineStr">
        <is>
          <t>Ana Marie Reyes</t>
        </is>
      </c>
      <c r="D7" s="8" t="inlineStr">
        <is>
          <t>anamarie.reyes@example.com</t>
        </is>
      </c>
      <c r="E7" s="8" t="inlineStr">
        <is>
          <t>Suki#2026Ana</t>
        </is>
      </c>
      <c r="F7" s="8" t="inlineStr">
        <is>
          <t>Active. Second buyer for concurrency and access tests.</t>
        </is>
      </c>
    </row>
    <row r="8" ht="29.5" customHeight="1">
      <c r="A8" s="4" t="inlineStr">
        <is>
          <t>Seller 1</t>
        </is>
      </c>
      <c r="B8" s="8" t="inlineStr">
        <is>
          <t>Seller</t>
        </is>
      </c>
      <c r="C8" s="8" t="inlineStr">
        <is>
          <t>Maria Clara Handicrafts (Maria Clara Santos)</t>
        </is>
      </c>
      <c r="D8" s="8" t="inlineStr">
        <is>
          <t>mariaclara.santos@example.com</t>
        </is>
      </c>
      <c r="E8" s="8" t="inlineStr">
        <is>
          <t>Tindahan@2026</t>
        </is>
      </c>
      <c r="F8" s="8" t="inlineStr">
        <is>
          <t>Approved. Pickup: Commonwealth, Quezon City (NCR). Main seller.</t>
        </is>
      </c>
    </row>
    <row r="9" ht="16.75" customHeight="1">
      <c r="A9" s="4" t="inlineStr">
        <is>
          <t>Seller 2</t>
        </is>
      </c>
      <c r="B9" s="8" t="inlineStr">
        <is>
          <t>Seller</t>
        </is>
      </c>
      <c r="C9" s="8" t="inlineStr">
        <is>
          <t>RV Gadget Hub (Roberto Villanueva)</t>
        </is>
      </c>
      <c r="D9" s="8" t="inlineStr">
        <is>
          <t>roberto.villanueva@example.com</t>
        </is>
      </c>
      <c r="E9" s="8" t="inlineStr">
        <is>
          <t>Gadget#Hub26</t>
        </is>
      </c>
      <c r="F9" s="8" t="inlineStr">
        <is>
          <t>Approved. Pickup: Lahug, Cebu City (Visayas).</t>
        </is>
      </c>
    </row>
    <row r="10" ht="29.5" customHeight="1">
      <c r="A10" s="4" t="inlineStr">
        <is>
          <t>Seller 3</t>
        </is>
      </c>
      <c r="B10" s="8" t="inlineStr">
        <is>
          <t>Seller</t>
        </is>
      </c>
      <c r="C10" s="8" t="inlineStr">
        <is>
          <t>Tindahan ni Lola (test)</t>
        </is>
      </c>
      <c r="D10" s="8" t="inlineStr">
        <is>
          <t>seller.test01@example.com</t>
        </is>
      </c>
      <c r="E10" s="8" t="inlineStr">
        <is>
          <t>Tindahan@2026</t>
        </is>
      </c>
      <c r="F10" s="8" t="inlineStr">
        <is>
          <t>Pending Approval. For the unverified-seller cases.</t>
        </is>
      </c>
    </row>
    <row r="11" ht="29.5" customHeight="1">
      <c r="A11" s="4" t="inlineStr">
        <is>
          <t>Logistics 1</t>
        </is>
      </c>
      <c r="B11" s="8" t="inlineStr">
        <is>
          <t>Logistics</t>
        </is>
      </c>
      <c r="C11" s="8" t="inlineStr">
        <is>
          <t>Bilis Hatid Express Inc. (Carlos Antonio Mendoza)</t>
        </is>
      </c>
      <c r="D11" s="8" t="inlineStr">
        <is>
          <t>operations@bilishatid.example.com</t>
        </is>
      </c>
      <c r="E11" s="8" t="inlineStr">
        <is>
          <t>Hatid@2026</t>
        </is>
      </c>
      <c r="F11" s="8" t="inlineStr">
        <is>
          <t>Approved. Serves NCR and CALABARZON. Main logistics account.</t>
        </is>
      </c>
    </row>
    <row r="12" ht="29.5" customHeight="1">
      <c r="A12" s="4" t="inlineStr">
        <is>
          <t>Logistics 2</t>
        </is>
      </c>
      <c r="B12" s="8" t="inlineStr">
        <is>
          <t>Logistics</t>
        </is>
      </c>
      <c r="C12" s="8" t="inlineStr">
        <is>
          <t>Agila Cargo Movers Corp. (Liza Mae Fernandez)</t>
        </is>
      </c>
      <c r="D12" s="8" t="inlineStr">
        <is>
          <t>admin@agilacargo.example.com</t>
        </is>
      </c>
      <c r="E12" s="8" t="inlineStr">
        <is>
          <t>Agila#Cargo26</t>
        </is>
      </c>
      <c r="F12" s="8" t="inlineStr">
        <is>
          <t>Approved. Serves Davao. Used for cross-company access tests.</t>
        </is>
      </c>
    </row>
    <row r="13" ht="16.75" customHeight="1">
      <c r="A13" s="4" t="inlineStr">
        <is>
          <t>Rider 1</t>
        </is>
      </c>
      <c r="B13" s="8" t="inlineStr">
        <is>
          <t>Rider</t>
        </is>
      </c>
      <c r="C13" s="8" t="inlineStr">
        <is>
          <t>Pedro Jose Garcia (Motorcycle, 123ABC)</t>
        </is>
      </c>
      <c r="D13" s="8" t="inlineStr">
        <is>
          <t>pedrojose.garcia@example.com</t>
        </is>
      </c>
      <c r="E13" s="8" t="inlineStr">
        <is>
          <t>Rider@2026</t>
        </is>
      </c>
      <c r="F13" s="8" t="inlineStr">
        <is>
          <t>Active, under Logistics 1. Main rider.</t>
        </is>
      </c>
    </row>
    <row r="14" ht="29.5" customHeight="1">
      <c r="A14" s="4" t="inlineStr">
        <is>
          <t>Rider 2</t>
        </is>
      </c>
      <c r="B14" s="8" t="inlineStr">
        <is>
          <t>Rider</t>
        </is>
      </c>
      <c r="C14" s="8" t="inlineStr">
        <is>
          <t>Mark Anthony Bautista (Van, NBC1234)</t>
        </is>
      </c>
      <c r="D14" s="8" t="inlineStr">
        <is>
          <t>markanthony.bautista@example.com</t>
        </is>
      </c>
      <c r="E14" s="8" t="inlineStr">
        <is>
          <t>Hatid#Mark26</t>
        </is>
      </c>
      <c r="F14" s="8" t="inlineStr">
        <is>
          <t>Active, under Logistics 1. Second rider for concurrency tests.</t>
        </is>
      </c>
    </row>
    <row r="15" ht="29.5" customHeight="1">
      <c r="A15" s="4" t="inlineStr">
        <is>
          <t>Rider 3</t>
        </is>
      </c>
      <c r="B15" s="8" t="inlineStr">
        <is>
          <t>Rider</t>
        </is>
      </c>
      <c r="C15" s="8" t="inlineStr">
        <is>
          <t>Ramon Cruz (Motorcycle, 456DEF)</t>
        </is>
      </c>
      <c r="D15" s="8" t="inlineStr">
        <is>
          <t>rider.test01@example.com</t>
        </is>
      </c>
      <c r="E15" s="8" t="inlineStr">
        <is>
          <t>Rider@2026</t>
        </is>
      </c>
      <c r="F15" s="8" t="inlineStr">
        <is>
          <t>Suspended by Logistics 1. For blocked-rider cases.</t>
        </is>
      </c>
    </row>
    <row r="16" ht="29.5" customHeight="1">
      <c r="A16" s="4" t="inlineStr">
        <is>
          <t>Admin</t>
        </is>
      </c>
      <c r="B16" s="8" t="inlineStr">
        <is>
          <t>Admin</t>
        </is>
      </c>
      <c r="C16" s="8" t="inlineStr">
        <is>
          <t>Seeded admin</t>
        </is>
      </c>
      <c r="D16" s="8" t="inlineStr">
        <is>
          <t>Use the admin account already seeded in your system</t>
        </is>
      </c>
      <c r="E16" s="8" t="inlineStr"/>
      <c r="F16" s="8" t="inlineStr">
        <is>
          <t>Creates platform vouchers PLAT100 and FREESHIP.</t>
        </is>
      </c>
    </row>
    <row r="18">
      <c r="A18" s="3" t="inlineStr">
        <is>
          <t>Buyer addresses</t>
        </is>
      </c>
    </row>
    <row r="19">
      <c r="A19" s="6" t="inlineStr">
        <is>
          <t>Ref</t>
        </is>
      </c>
      <c r="B19" s="6" t="inlineStr">
        <is>
          <t>Owner</t>
        </is>
      </c>
      <c r="C19" s="6" t="inlineStr">
        <is>
          <t>Label</t>
        </is>
      </c>
      <c r="D19" s="6" t="inlineStr">
        <is>
          <t>Address</t>
        </is>
      </c>
      <c r="E19" s="6" t="inlineStr">
        <is>
          <t>Recipient / phone</t>
        </is>
      </c>
      <c r="F19" s="6" t="inlineStr">
        <is>
          <t>Notes</t>
        </is>
      </c>
    </row>
    <row r="20" ht="29.5" customHeight="1">
      <c r="A20" s="4" t="inlineStr">
        <is>
          <t>ADDR-1</t>
        </is>
      </c>
      <c r="B20" s="8" t="inlineStr">
        <is>
          <t>Buyer 1</t>
        </is>
      </c>
      <c r="C20" s="8" t="inlineStr">
        <is>
          <t>Home (default)</t>
        </is>
      </c>
      <c r="D20" s="8" t="inlineStr">
        <is>
          <t>45 Kalayaan Ave., Brgy. Central, Quezon City, Metro Manila, NCR 1100</t>
        </is>
      </c>
      <c r="E20" s="8" t="inlineStr">
        <is>
          <t>Juan Miguel Dela Cruz / 09171234567</t>
        </is>
      </c>
      <c r="F20" s="8" t="inlineStr">
        <is>
          <t>Zone NCR</t>
        </is>
      </c>
    </row>
    <row r="21" ht="42.25" customHeight="1">
      <c r="A21" s="4" t="inlineStr">
        <is>
          <t>ADDR-2</t>
        </is>
      </c>
      <c r="B21" s="8" t="inlineStr">
        <is>
          <t>Buyer 1</t>
        </is>
      </c>
      <c r="C21" s="8" t="inlineStr">
        <is>
          <t>Office</t>
        </is>
      </c>
      <c r="D21" s="8" t="inlineStr">
        <is>
          <t>12F Pacific Tower, 6750 Ayala Ave., Brgy. San Lorenzo, Makati City, Metro Manila, NCR 1223</t>
        </is>
      </c>
      <c r="E21" s="8" t="inlineStr">
        <is>
          <t>Juan Miguel Dela Cruz / 09171234567</t>
        </is>
      </c>
      <c r="F21" s="8" t="inlineStr">
        <is>
          <t>Zone NCR</t>
        </is>
      </c>
    </row>
    <row r="22" ht="29.5" customHeight="1">
      <c r="A22" s="4" t="inlineStr">
        <is>
          <t>ADDR-3</t>
        </is>
      </c>
      <c r="B22" s="8" t="inlineStr">
        <is>
          <t>Buyer 2</t>
        </is>
      </c>
      <c r="C22" s="8" t="inlineStr">
        <is>
          <t>Home (default)</t>
        </is>
      </c>
      <c r="D22" s="8" t="inlineStr">
        <is>
          <t>78 Osmeña Blvd., Brgy. Capitol Site, Cebu City, Cebu, Region VII 6000</t>
        </is>
      </c>
      <c r="E22" s="8" t="inlineStr">
        <is>
          <t>Ana Marie Reyes / 09173456789</t>
        </is>
      </c>
      <c r="F22" s="8" t="inlineStr">
        <is>
          <t>Zone Visayas</t>
        </is>
      </c>
    </row>
    <row r="23" ht="29.5" customHeight="1">
      <c r="A23" s="4" t="inlineStr">
        <is>
          <t>ADDR-4</t>
        </is>
      </c>
      <c r="B23" s="8" t="inlineStr">
        <is>
          <t>Buyer 1</t>
        </is>
      </c>
      <c r="C23" s="8" t="inlineStr">
        <is>
          <t>Province</t>
        </is>
      </c>
      <c r="D23" s="8" t="inlineStr">
        <is>
          <t>Purok 2, Brgy. Raele, Itbayat, Batanes, Region II 3905</t>
        </is>
      </c>
      <c r="E23" s="8" t="inlineStr">
        <is>
          <t>Juan Miguel Dela Cruz / 09171234567</t>
        </is>
      </c>
      <c r="F23" s="8" t="inlineStr">
        <is>
          <t>Unserviceable area (no logistics zone covers it)</t>
        </is>
      </c>
    </row>
    <row r="25">
      <c r="A25" s="3" t="inlineStr">
        <is>
          <t>Store categories (Seller 1)</t>
        </is>
      </c>
    </row>
    <row r="26">
      <c r="A26" s="6" t="inlineStr">
        <is>
          <t>Ref</t>
        </is>
      </c>
      <c r="B26" s="6" t="inlineStr">
        <is>
          <t>Category</t>
        </is>
      </c>
      <c r="C26" s="6" t="inlineStr">
        <is>
          <t>Parent</t>
        </is>
      </c>
      <c r="D26" s="6" t="inlineStr">
        <is>
          <t>Visible</t>
        </is>
      </c>
      <c r="E26" s="6" t="inlineStr">
        <is>
          <t>Products</t>
        </is>
      </c>
      <c r="F26" s="6" t="inlineStr">
        <is>
          <t>Notes</t>
        </is>
      </c>
    </row>
    <row r="27" ht="16.75" customHeight="1">
      <c r="A27" s="4" t="inlineStr">
        <is>
          <t>CAT-1</t>
        </is>
      </c>
      <c r="B27" s="8" t="inlineStr">
        <is>
          <t>Bags</t>
        </is>
      </c>
      <c r="C27" s="8" t="inlineStr"/>
      <c r="D27" s="8" t="inlineStr">
        <is>
          <t>Yes</t>
        </is>
      </c>
      <c r="E27" s="8" t="inlineStr">
        <is>
          <t>P-01</t>
        </is>
      </c>
      <c r="F27" s="8" t="inlineStr"/>
    </row>
    <row r="28" ht="16.75" customHeight="1">
      <c r="A28" s="4" t="inlineStr">
        <is>
          <t>CAT-2</t>
        </is>
      </c>
      <c r="B28" s="8" t="inlineStr">
        <is>
          <t>Home Decor</t>
        </is>
      </c>
      <c r="C28" s="8" t="inlineStr"/>
      <c r="D28" s="8" t="inlineStr">
        <is>
          <t>Yes</t>
        </is>
      </c>
      <c r="E28" s="8" t="inlineStr"/>
      <c r="F28" s="8" t="inlineStr">
        <is>
          <t>Parent category</t>
        </is>
      </c>
    </row>
    <row r="29" ht="16.75" customHeight="1">
      <c r="A29" s="4" t="inlineStr">
        <is>
          <t>CAT-3</t>
        </is>
      </c>
      <c r="B29" s="8" t="inlineStr">
        <is>
          <t>Lamps</t>
        </is>
      </c>
      <c r="C29" s="8" t="inlineStr">
        <is>
          <t>Home Decor</t>
        </is>
      </c>
      <c r="D29" s="8" t="inlineStr">
        <is>
          <t>Yes</t>
        </is>
      </c>
      <c r="E29" s="8" t="inlineStr">
        <is>
          <t>P-03</t>
        </is>
      </c>
      <c r="F29" s="8" t="inlineStr">
        <is>
          <t>Subcategory (level 2)</t>
        </is>
      </c>
    </row>
    <row r="30" ht="16.75" customHeight="1">
      <c r="A30" s="4" t="inlineStr">
        <is>
          <t>CAT-4</t>
        </is>
      </c>
      <c r="B30" s="8" t="inlineStr">
        <is>
          <t>Baskets</t>
        </is>
      </c>
      <c r="C30" s="8" t="inlineStr">
        <is>
          <t>Home Decor</t>
        </is>
      </c>
      <c r="D30" s="8" t="inlineStr">
        <is>
          <t>Yes</t>
        </is>
      </c>
      <c r="E30" s="8" t="inlineStr">
        <is>
          <t>P-02</t>
        </is>
      </c>
      <c r="F30" s="8" t="inlineStr">
        <is>
          <t>Subcategory (level 2)</t>
        </is>
      </c>
    </row>
    <row r="31" ht="16.75" customHeight="1">
      <c r="A31" s="4" t="inlineStr">
        <is>
          <t>CAT-5</t>
        </is>
      </c>
      <c r="B31" s="8" t="inlineStr">
        <is>
          <t>Kitchen &amp; Dining</t>
        </is>
      </c>
      <c r="C31" s="8" t="inlineStr"/>
      <c r="D31" s="8" t="inlineStr">
        <is>
          <t>Yes</t>
        </is>
      </c>
      <c r="E31" s="8" t="inlineStr">
        <is>
          <t>P-04</t>
        </is>
      </c>
      <c r="F31" s="8" t="inlineStr"/>
    </row>
    <row r="33">
      <c r="A33" s="3" t="inlineStr">
        <is>
          <t>Products</t>
        </is>
      </c>
    </row>
    <row r="34">
      <c r="A34" s="6" t="inlineStr">
        <is>
          <t>Ref</t>
        </is>
      </c>
      <c r="B34" s="6" t="inlineStr">
        <is>
          <t>Seller</t>
        </is>
      </c>
      <c r="C34" s="6" t="inlineStr">
        <is>
          <t>Product</t>
        </is>
      </c>
      <c r="D34" s="6" t="inlineStr">
        <is>
          <t>Price / variants</t>
        </is>
      </c>
      <c r="E34" s="6" t="inlineStr">
        <is>
          <t>Stock</t>
        </is>
      </c>
      <c r="F34" s="6" t="inlineStr">
        <is>
          <t>Weight and size / other</t>
        </is>
      </c>
    </row>
    <row r="35" ht="55" customHeight="1">
      <c r="A35" s="4" t="inlineStr">
        <is>
          <t>P-01</t>
        </is>
      </c>
      <c r="B35" s="8" t="inlineStr">
        <is>
          <t>Seller 1</t>
        </is>
      </c>
      <c r="C35" s="8" t="inlineStr">
        <is>
          <t>Abaca Woven Tote Bag</t>
        </is>
      </c>
      <c r="D35" s="8" t="inlineStr">
        <is>
          <t>Color: Natural, Black × Size: S ₱199, M ₱249, L ₱299 (6 variants). SKU MCH-TOTE-&lt;COLOR&gt;-&lt;SIZE&gt;</t>
        </is>
      </c>
      <c r="E35" s="8" t="inlineStr">
        <is>
          <t>Natural-S 10, Natural-M 8, Natural-L 5, Black-S 10, Black-M 0, Black-L 3</t>
        </is>
      </c>
      <c r="F35" s="8" t="inlineStr">
        <is>
          <t>0.4 kg; 40 × 35 × 5 cm. Platform category: Women's Bags</t>
        </is>
      </c>
    </row>
    <row r="36" ht="29.5" customHeight="1">
      <c r="A36" s="4" t="inlineStr">
        <is>
          <t>P-02</t>
        </is>
      </c>
      <c r="B36" s="8" t="inlineStr">
        <is>
          <t>Seller 1</t>
        </is>
      </c>
      <c r="C36" s="8" t="inlineStr">
        <is>
          <t>Rattan Fruit Basket</t>
        </is>
      </c>
      <c r="D36" s="8" t="inlineStr">
        <is>
          <t>₱450.00 (no variants)</t>
        </is>
      </c>
      <c r="E36" s="8" t="inlineStr">
        <is>
          <t>20</t>
        </is>
      </c>
      <c r="F36" s="8" t="inlineStr">
        <is>
          <t>0.8 kg; 30 × 30 × 15 cm. Platform category: Home &amp; Living</t>
        </is>
      </c>
    </row>
    <row r="37" ht="29.5" customHeight="1">
      <c r="A37" s="4" t="inlineStr">
        <is>
          <t>P-03</t>
        </is>
      </c>
      <c r="B37" s="8" t="inlineStr">
        <is>
          <t>Seller 1</t>
        </is>
      </c>
      <c r="C37" s="8" t="inlineStr">
        <is>
          <t>Capiz Shell Lamp</t>
        </is>
      </c>
      <c r="D37" s="8" t="inlineStr">
        <is>
          <t>₱1,250.00</t>
        </is>
      </c>
      <c r="E37" s="8" t="inlineStr">
        <is>
          <t>1 (for the oversell case)</t>
        </is>
      </c>
      <c r="F37" s="8" t="inlineStr">
        <is>
          <t>1.5 kg; 30 × 30 × 40 cm</t>
        </is>
      </c>
    </row>
    <row r="38" ht="16.75" customHeight="1">
      <c r="A38" s="4" t="inlineStr">
        <is>
          <t>P-04</t>
        </is>
      </c>
      <c r="B38" s="8" t="inlineStr">
        <is>
          <t>Seller 1</t>
        </is>
      </c>
      <c r="C38" s="8" t="inlineStr">
        <is>
          <t>Banig Placemat Set of 4</t>
        </is>
      </c>
      <c r="D38" s="8" t="inlineStr">
        <is>
          <t>₱350.00</t>
        </is>
      </c>
      <c r="E38" s="8" t="inlineStr">
        <is>
          <t>0 (out of stock)</t>
        </is>
      </c>
      <c r="F38" s="8" t="inlineStr">
        <is>
          <t>0.5 kg</t>
        </is>
      </c>
    </row>
    <row r="39" ht="16.75" customHeight="1">
      <c r="A39" s="4" t="inlineStr">
        <is>
          <t>P-05</t>
        </is>
      </c>
      <c r="B39" s="8" t="inlineStr">
        <is>
          <t>Seller 2</t>
        </is>
      </c>
      <c r="C39" s="8" t="inlineStr">
        <is>
          <t>USB-C Fast Charger 20W</t>
        </is>
      </c>
      <c r="D39" s="8" t="inlineStr">
        <is>
          <t>₱399.00</t>
        </is>
      </c>
      <c r="E39" s="8" t="inlineStr">
        <is>
          <t>50</t>
        </is>
      </c>
      <c r="F39" s="8" t="inlineStr">
        <is>
          <t>0.2 kg; 10 × 8 × 5 cm</t>
        </is>
      </c>
    </row>
    <row r="40" ht="16.75" customHeight="1">
      <c r="A40" s="4" t="inlineStr">
        <is>
          <t>P-06</t>
        </is>
      </c>
      <c r="B40" s="8" t="inlineStr">
        <is>
          <t>Seller 2</t>
        </is>
      </c>
      <c r="C40" s="8" t="inlineStr">
        <is>
          <t>Wireless Earbuds X2</t>
        </is>
      </c>
      <c r="D40" s="8" t="inlineStr">
        <is>
          <t>Color: Black, White; ₱1,499.00 each</t>
        </is>
      </c>
      <c r="E40" s="8" t="inlineStr">
        <is>
          <t>Black 10, White 10</t>
        </is>
      </c>
      <c r="F40" s="8" t="inlineStr">
        <is>
          <t>0.3 kg</t>
        </is>
      </c>
    </row>
    <row r="41" ht="16.75" customHeight="1">
      <c r="A41" s="4" t="inlineStr">
        <is>
          <t>P-07</t>
        </is>
      </c>
      <c r="B41" s="8" t="inlineStr">
        <is>
          <t>Seller 2</t>
        </is>
      </c>
      <c r="C41" s="8" t="inlineStr">
        <is>
          <t>Power Bank 10000mAh</t>
        </is>
      </c>
      <c r="D41" s="8" t="inlineStr">
        <is>
          <t>₱899.00; per-buyer purchase limit 2</t>
        </is>
      </c>
      <c r="E41" s="8" t="inlineStr">
        <is>
          <t>5</t>
        </is>
      </c>
      <c r="F41" s="8" t="inlineStr">
        <is>
          <t>0.4 kg</t>
        </is>
      </c>
    </row>
    <row r="43">
      <c r="A43" s="3" t="inlineStr">
        <is>
          <t>Vouchers</t>
        </is>
      </c>
    </row>
    <row r="44">
      <c r="A44" s="6" t="inlineStr">
        <is>
          <t>Code</t>
        </is>
      </c>
      <c r="B44" s="6" t="inlineStr">
        <is>
          <t>Owner / funded by</t>
        </is>
      </c>
      <c r="C44" s="6" t="inlineStr">
        <is>
          <t>Type</t>
        </is>
      </c>
      <c r="D44" s="6" t="inlineStr">
        <is>
          <t>Rule</t>
        </is>
      </c>
      <c r="E44" s="6" t="inlineStr">
        <is>
          <t>Limits / validity</t>
        </is>
      </c>
      <c r="F44" s="6" t="inlineStr">
        <is>
          <t>Display</t>
        </is>
      </c>
    </row>
    <row r="45" ht="29.5" customHeight="1">
      <c r="A45" s="4" t="inlineStr">
        <is>
          <t>MCH50</t>
        </is>
      </c>
      <c r="B45" s="8" t="inlineStr">
        <is>
          <t>Seller 1 / seller</t>
        </is>
      </c>
      <c r="C45" s="8" t="inlineStr">
        <is>
          <t>Fixed ₱50 off</t>
        </is>
      </c>
      <c r="D45" s="8" t="inlineStr">
        <is>
          <t>Min spend ₱300; all Seller 1 products</t>
        </is>
      </c>
      <c r="E45" s="8" t="inlineStr">
        <is>
          <t>100 total, 1 per buyer; valid this month</t>
        </is>
      </c>
      <c r="F45" s="8" t="inlineStr">
        <is>
          <t>Claimable</t>
        </is>
      </c>
    </row>
    <row r="46" ht="29.5" customHeight="1">
      <c r="A46" s="4" t="inlineStr">
        <is>
          <t>MCH10</t>
        </is>
      </c>
      <c r="B46" s="8" t="inlineStr">
        <is>
          <t>Seller 1 / seller</t>
        </is>
      </c>
      <c r="C46" s="8" t="inlineStr">
        <is>
          <t>10% off, cap ₱100</t>
        </is>
      </c>
      <c r="D46" s="8" t="inlineStr">
        <is>
          <t>Min spend ₱500</t>
        </is>
      </c>
      <c r="E46" s="8" t="inlineStr">
        <is>
          <t>50 total, 1 per buyer; valid this month</t>
        </is>
      </c>
      <c r="F46" s="8" t="inlineStr">
        <is>
          <t>Claimable</t>
        </is>
      </c>
    </row>
    <row r="47" ht="16.75" customHeight="1">
      <c r="A47" s="4" t="inlineStr">
        <is>
          <t>RVSECRET</t>
        </is>
      </c>
      <c r="B47" s="8" t="inlineStr">
        <is>
          <t>Seller 2 / seller</t>
        </is>
      </c>
      <c r="C47" s="8" t="inlineStr">
        <is>
          <t>Fixed ₱100 off</t>
        </is>
      </c>
      <c r="D47" s="8" t="inlineStr">
        <is>
          <t>Min spend ₱1,000</t>
        </is>
      </c>
      <c r="E47" s="8" t="inlineStr">
        <is>
          <t>20 total, 1 per buyer</t>
        </is>
      </c>
      <c r="F47" s="8" t="inlineStr">
        <is>
          <t>Code-only (hidden)</t>
        </is>
      </c>
    </row>
    <row r="48" ht="16.75" customHeight="1">
      <c r="A48" s="4" t="inlineStr">
        <is>
          <t>MCHOLD</t>
        </is>
      </c>
      <c r="B48" s="8" t="inlineStr">
        <is>
          <t>Seller 1 / seller</t>
        </is>
      </c>
      <c r="C48" s="8" t="inlineStr">
        <is>
          <t>Fixed ₱30 off</t>
        </is>
      </c>
      <c r="D48" s="8" t="inlineStr">
        <is>
          <t>Min spend ₱200</t>
        </is>
      </c>
      <c r="E48" s="8" t="inlineStr">
        <is>
          <t>Expired yesterday</t>
        </is>
      </c>
      <c r="F48" s="8" t="inlineStr">
        <is>
          <t>Claimable</t>
        </is>
      </c>
    </row>
    <row r="49" ht="16.75" customHeight="1">
      <c r="A49" s="4" t="inlineStr">
        <is>
          <t>MCHSOON</t>
        </is>
      </c>
      <c r="B49" s="8" t="inlineStr">
        <is>
          <t>Seller 1 / seller</t>
        </is>
      </c>
      <c r="C49" s="8" t="inlineStr">
        <is>
          <t>Fixed ₱30 off</t>
        </is>
      </c>
      <c r="D49" s="8" t="inlineStr">
        <is>
          <t>Min spend ₱200</t>
        </is>
      </c>
      <c r="E49" s="8" t="inlineStr">
        <is>
          <t>Starts tomorrow</t>
        </is>
      </c>
      <c r="F49" s="8" t="inlineStr">
        <is>
          <t>Claimable</t>
        </is>
      </c>
    </row>
    <row r="50" ht="29.5" customHeight="1">
      <c r="A50" s="4" t="inlineStr">
        <is>
          <t>MCHMAX</t>
        </is>
      </c>
      <c r="B50" s="8" t="inlineStr">
        <is>
          <t>Seller 1 / seller</t>
        </is>
      </c>
      <c r="C50" s="8" t="inlineStr">
        <is>
          <t>Fixed ₱20 off</t>
        </is>
      </c>
      <c r="D50" s="8" t="inlineStr">
        <is>
          <t>Min spend ₱100</t>
        </is>
      </c>
      <c r="E50" s="8" t="inlineStr">
        <is>
          <t>Total usage limit 1, already used by Buyer 2</t>
        </is>
      </c>
      <c r="F50" s="8" t="inlineStr">
        <is>
          <t>Claimable</t>
        </is>
      </c>
    </row>
    <row r="51" ht="16.75" customHeight="1">
      <c r="A51" s="4" t="inlineStr">
        <is>
          <t>PLAT100</t>
        </is>
      </c>
      <c r="B51" s="8" t="inlineStr">
        <is>
          <t>Admin / platform</t>
        </is>
      </c>
      <c r="C51" s="8" t="inlineStr">
        <is>
          <t>Fixed ₱100 off</t>
        </is>
      </c>
      <c r="D51" s="8" t="inlineStr">
        <is>
          <t>Min spend ₱1,000 (whole order)</t>
        </is>
      </c>
      <c r="E51" s="8" t="inlineStr">
        <is>
          <t>1 per buyer</t>
        </is>
      </c>
      <c r="F51" s="8" t="inlineStr">
        <is>
          <t>Claimable</t>
        </is>
      </c>
    </row>
    <row r="52" ht="16.75" customHeight="1">
      <c r="A52" s="4" t="inlineStr">
        <is>
          <t>FREESHIP</t>
        </is>
      </c>
      <c r="B52" s="8" t="inlineStr">
        <is>
          <t>Admin / platform</t>
        </is>
      </c>
      <c r="C52" s="8" t="inlineStr">
        <is>
          <t>Shipping, up to ₱50 off</t>
        </is>
      </c>
      <c r="D52" s="8" t="inlineStr">
        <is>
          <t>Min spend ₱300</t>
        </is>
      </c>
      <c r="E52" s="8" t="inlineStr">
        <is>
          <t>1 per buyer</t>
        </is>
      </c>
      <c r="F52" s="8" t="inlineStr">
        <is>
          <t>Claimable</t>
        </is>
      </c>
    </row>
    <row r="54">
      <c r="A54" s="3" t="inlineStr">
        <is>
          <t>Shipping rate table (test rates)</t>
        </is>
      </c>
    </row>
    <row r="55">
      <c r="A55" s="6" t="inlineStr">
        <is>
          <t>Route</t>
        </is>
      </c>
      <c r="B55" s="6" t="inlineStr">
        <is>
          <t>First kg</t>
        </is>
      </c>
      <c r="C55" s="6" t="inlineStr">
        <is>
          <t>Each additional kg</t>
        </is>
      </c>
      <c r="D55" s="6" t="inlineStr">
        <is>
          <t>Example</t>
        </is>
      </c>
      <c r="E55" s="6" t="inlineStr"/>
      <c r="F55" s="6" t="inlineStr">
        <is>
          <t>Notes</t>
        </is>
      </c>
    </row>
    <row r="56" ht="16.75" customHeight="1">
      <c r="A56" s="4" t="inlineStr">
        <is>
          <t>Within NCR</t>
        </is>
      </c>
      <c r="B56" s="8" t="inlineStr">
        <is>
          <t>₱50.00</t>
        </is>
      </c>
      <c r="C56" s="8" t="inlineStr">
        <is>
          <t>₱15.00</t>
        </is>
      </c>
      <c r="D56" s="8" t="inlineStr">
        <is>
          <t>1.2 kg → 2 kg → ₱65.00</t>
        </is>
      </c>
      <c r="E56" s="8" t="inlineStr"/>
      <c r="F56" s="8" t="inlineStr">
        <is>
          <t>Seller 1 to ADDR-1 or ADDR-2</t>
        </is>
      </c>
    </row>
    <row r="57" ht="29.5" customHeight="1">
      <c r="A57" s="4" t="inlineStr">
        <is>
          <t>Visayas to NCR</t>
        </is>
      </c>
      <c r="B57" s="8" t="inlineStr">
        <is>
          <t>₱120.00</t>
        </is>
      </c>
      <c r="C57" s="8" t="inlineStr">
        <is>
          <t>₱40.00</t>
        </is>
      </c>
      <c r="D57" s="8" t="inlineStr">
        <is>
          <t>0.2 kg → 1 kg → ₱120.00</t>
        </is>
      </c>
      <c r="E57" s="8" t="inlineStr"/>
      <c r="F57" s="8" t="inlineStr">
        <is>
          <t>Seller 2 to ADDR-1</t>
        </is>
      </c>
    </row>
    <row r="58" ht="29.5" customHeight="1">
      <c r="A58" s="4" t="inlineStr">
        <is>
          <t>NCR to Visayas</t>
        </is>
      </c>
      <c r="B58" s="8" t="inlineStr">
        <is>
          <t>₱120.00</t>
        </is>
      </c>
      <c r="C58" s="8" t="inlineStr">
        <is>
          <t>₱40.00</t>
        </is>
      </c>
      <c r="D58" s="8" t="inlineStr">
        <is>
          <t>0.4 kg → 1 kg → ₱120.00</t>
        </is>
      </c>
      <c r="E58" s="8" t="inlineStr"/>
      <c r="F58" s="8" t="inlineStr">
        <is>
          <t>Seller 1 to ADDR-3</t>
        </is>
      </c>
    </row>
    <row r="59" ht="29.5" customHeight="1">
      <c r="A59" s="4" t="inlineStr">
        <is>
          <t>Within Visayas</t>
        </is>
      </c>
      <c r="B59" s="8" t="inlineStr">
        <is>
          <t>₱60.00</t>
        </is>
      </c>
      <c r="C59" s="8" t="inlineStr">
        <is>
          <t>₱20.00</t>
        </is>
      </c>
      <c r="D59" s="8" t="inlineStr"/>
      <c r="E59" s="8" t="inlineStr"/>
      <c r="F59" s="8" t="inlineStr">
        <is>
          <t>Seller 2 to ADDR-3</t>
        </is>
      </c>
    </row>
    <row r="61">
      <c r="A61" s="3" t="inlineStr">
        <is>
          <t>Worked checkout example (used in Buyer B7/B8, Seller S12 and Cross-cutting X3)</t>
        </is>
      </c>
    </row>
    <row r="62">
      <c r="A62" s="6" t="inlineStr">
        <is>
          <t>Line</t>
        </is>
      </c>
      <c r="B62" s="6" t="inlineStr">
        <is>
          <t>Item</t>
        </is>
      </c>
      <c r="C62" s="6" t="inlineStr">
        <is>
          <t>Amount</t>
        </is>
      </c>
      <c r="D62" s="6" t="inlineStr">
        <is>
          <t>How it is calculated</t>
        </is>
      </c>
      <c r="E62" s="6" t="inlineStr"/>
      <c r="F62" s="6" t="inlineStr"/>
    </row>
    <row r="63" ht="29.5" customHeight="1">
      <c r="A63" s="4" t="inlineStr">
        <is>
          <t>1</t>
        </is>
      </c>
      <c r="B63" s="8" t="inlineStr">
        <is>
          <t>Seller 1: Abaca Tote Natural-M × 1 + Rattan Basket × 1</t>
        </is>
      </c>
      <c r="C63" s="8" t="inlineStr">
        <is>
          <t>₱699.00</t>
        </is>
      </c>
      <c r="D63" s="8" t="inlineStr">
        <is>
          <t>249 + 450</t>
        </is>
      </c>
      <c r="E63" s="8" t="inlineStr"/>
      <c r="F63" s="8" t="inlineStr"/>
    </row>
    <row r="64" ht="16.75" customHeight="1">
      <c r="A64" s="4" t="inlineStr">
        <is>
          <t>2</t>
        </is>
      </c>
      <c r="B64" s="8" t="inlineStr">
        <is>
          <t>Seller 2: USB-C Charger × 1</t>
        </is>
      </c>
      <c r="C64" s="8" t="inlineStr">
        <is>
          <t>₱399.00</t>
        </is>
      </c>
      <c r="D64" s="8" t="inlineStr"/>
      <c r="E64" s="8" t="inlineStr"/>
      <c r="F64" s="8" t="inlineStr"/>
    </row>
    <row r="65" ht="16.75" customHeight="1">
      <c r="A65" s="4" t="inlineStr">
        <is>
          <t>3</t>
        </is>
      </c>
      <c r="B65" s="8" t="inlineStr">
        <is>
          <t>Merchandise subtotal</t>
        </is>
      </c>
      <c r="C65" s="8" t="inlineStr">
        <is>
          <t>₱1,098.00</t>
        </is>
      </c>
      <c r="D65" s="8" t="inlineStr">
        <is>
          <t>699 + 399</t>
        </is>
      </c>
      <c r="E65" s="8" t="inlineStr"/>
      <c r="F65" s="8" t="inlineStr"/>
    </row>
    <row r="66" ht="29.5" customHeight="1">
      <c r="A66" s="4" t="inlineStr">
        <is>
          <t>4</t>
        </is>
      </c>
      <c r="B66" s="8" t="inlineStr">
        <is>
          <t>Shipping, Seller 1 (1.2 kg, within NCR)</t>
        </is>
      </c>
      <c r="C66" s="8" t="inlineStr">
        <is>
          <t>₱65.00</t>
        </is>
      </c>
      <c r="D66" s="8" t="inlineStr">
        <is>
          <t>50 + 15</t>
        </is>
      </c>
      <c r="E66" s="8" t="inlineStr"/>
      <c r="F66" s="8" t="inlineStr"/>
    </row>
    <row r="67" ht="29.5" customHeight="1">
      <c r="A67" s="4" t="inlineStr">
        <is>
          <t>5</t>
        </is>
      </c>
      <c r="B67" s="8" t="inlineStr">
        <is>
          <t>Shipping, Seller 2 (0.2 kg, Visayas to NCR)</t>
        </is>
      </c>
      <c r="C67" s="8" t="inlineStr">
        <is>
          <t>₱120.00</t>
        </is>
      </c>
      <c r="D67" s="8" t="inlineStr"/>
      <c r="E67" s="8" t="inlineStr"/>
      <c r="F67" s="8" t="inlineStr"/>
    </row>
    <row r="68" ht="16.75" customHeight="1">
      <c r="A68" s="4" t="inlineStr">
        <is>
          <t>6</t>
        </is>
      </c>
      <c r="B68" s="8" t="inlineStr">
        <is>
          <t>Store voucher MCH50 (Seller 1)</t>
        </is>
      </c>
      <c r="C68" s="8" t="inlineStr">
        <is>
          <t>−₱50.00</t>
        </is>
      </c>
      <c r="D68" s="8" t="inlineStr">
        <is>
          <t>Seller 1 subtotal 699 ≥ 300</t>
        </is>
      </c>
      <c r="E68" s="8" t="inlineStr"/>
      <c r="F68" s="8" t="inlineStr"/>
    </row>
    <row r="69" ht="16.75" customHeight="1">
      <c r="A69" s="4" t="inlineStr">
        <is>
          <t>7</t>
        </is>
      </c>
      <c r="B69" s="8" t="inlineStr">
        <is>
          <t>Platform voucher PLAT100</t>
        </is>
      </c>
      <c r="C69" s="8" t="inlineStr">
        <is>
          <t>−₱100.00</t>
        </is>
      </c>
      <c r="D69" s="8" t="inlineStr">
        <is>
          <t>Order subtotal 1,098 ≥ 1,000</t>
        </is>
      </c>
      <c r="E69" s="8" t="inlineStr"/>
      <c r="F69" s="8" t="inlineStr"/>
    </row>
    <row r="70" ht="16.75" customHeight="1">
      <c r="A70" s="4" t="inlineStr">
        <is>
          <t>8</t>
        </is>
      </c>
      <c r="B70" s="8" t="inlineStr">
        <is>
          <t>Shipping voucher FREESHIP</t>
        </is>
      </c>
      <c r="C70" s="8" t="inlineStr">
        <is>
          <t>−₱50.00</t>
        </is>
      </c>
      <c r="D70" s="8" t="inlineStr">
        <is>
          <t>Capped at ₱50</t>
        </is>
      </c>
      <c r="E70" s="8" t="inlineStr"/>
      <c r="F70" s="8" t="inlineStr"/>
    </row>
    <row r="71" ht="16.75" customHeight="1">
      <c r="A71" s="4" t="inlineStr">
        <is>
          <t>9</t>
        </is>
      </c>
      <c r="B71" s="8" t="inlineStr">
        <is>
          <t>Total to pay</t>
        </is>
      </c>
      <c r="C71" s="8" t="inlineStr">
        <is>
          <t>₱1,083.00</t>
        </is>
      </c>
      <c r="D71" s="8" t="inlineStr">
        <is>
          <t>1,098 + 185 − 50 − 100 − 50</t>
        </is>
      </c>
      <c r="E71" s="8" t="inlineStr"/>
      <c r="F71" s="8" t="inlineStr"/>
    </row>
    <row r="72" ht="29.5" customHeight="1">
      <c r="A72" s="4" t="inlineStr">
        <is>
          <t>10</t>
        </is>
      </c>
      <c r="B72" s="8" t="inlineStr">
        <is>
          <t>Seller 1 net earnings for this order</t>
        </is>
      </c>
      <c r="C72" s="8" t="inlineStr">
        <is>
          <t>₱616.55</t>
        </is>
      </c>
      <c r="D72" s="8" t="inlineStr">
        <is>
          <t>(699 − 50) = 649 gross after seller vouchers; 5% commission = 32.45</t>
        </is>
      </c>
      <c r="E72" s="8" t="inlineStr"/>
      <c r="F72" s="8" t="inlineStr"/>
    </row>
    <row r="73" ht="29.5" customHeight="1">
      <c r="A73" s="4" t="inlineStr">
        <is>
          <t>11</t>
        </is>
      </c>
      <c r="B73" s="8" t="inlineStr">
        <is>
          <t>Seller 2 net earnings for this order</t>
        </is>
      </c>
      <c r="C73" s="8" t="inlineStr">
        <is>
          <t>₱379.05</t>
        </is>
      </c>
      <c r="D73" s="8" t="inlineStr">
        <is>
          <t>399 − 5% commission (19.95)</t>
        </is>
      </c>
      <c r="E73" s="8" t="inlineStr"/>
      <c r="F73" s="8" t="inlineStr"/>
    </row>
    <row r="75">
      <c r="A75" s="3" t="inlineStr">
        <is>
          <t>Other values</t>
        </is>
      </c>
    </row>
    <row r="76">
      <c r="A76" s="6" t="inlineStr">
        <is>
          <t>Item</t>
        </is>
      </c>
      <c r="B76" s="6" t="inlineStr">
        <is>
          <t>Value</t>
        </is>
      </c>
      <c r="C76" s="6" t="inlineStr"/>
      <c r="D76" s="6" t="inlineStr"/>
      <c r="E76" s="6" t="inlineStr"/>
      <c r="F76" s="6" t="inlineStr">
        <is>
          <t>Notes</t>
        </is>
      </c>
    </row>
    <row r="77" ht="29.5" customHeight="1">
      <c r="A77" s="4" t="inlineStr">
        <is>
          <t>Delivery OTP</t>
        </is>
      </c>
      <c r="B77" s="8" t="inlineStr">
        <is>
          <t>Shown in Buyer 1's order page when Out for Delivery</t>
        </is>
      </c>
      <c r="C77" s="8" t="inlineStr"/>
      <c r="D77" s="8" t="inlineStr"/>
      <c r="E77" s="8" t="inlineStr"/>
      <c r="F77" s="8" t="inlineStr">
        <is>
          <t>6 digits (A32)</t>
        </is>
      </c>
    </row>
    <row r="78" ht="42.25" customHeight="1">
      <c r="A78" s="4" t="inlineStr">
        <is>
          <t>Rider pay</t>
        </is>
      </c>
      <c r="B78" s="8" t="inlineStr">
        <is>
          <t>₱50.00 per delivery, ₱30.00 per pickup, ₱0.00 per failed attempt</t>
        </is>
      </c>
      <c r="C78" s="8" t="inlineStr"/>
      <c r="D78" s="8" t="inlineStr"/>
      <c r="E78" s="8" t="inlineStr"/>
      <c r="F78" s="8" t="inlineStr">
        <is>
          <t>A33</t>
        </is>
      </c>
    </row>
    <row r="79" ht="42.25" customHeight="1">
      <c r="A79" s="4" t="inlineStr">
        <is>
          <t>PLAT100 split (worked example)</t>
        </is>
      </c>
      <c r="B79" s="8" t="inlineStr">
        <is>
          <t>Seller 1 order ₱63.66; Seller 2 order ₱36.34</t>
        </is>
      </c>
      <c r="C79" s="8" t="inlineStr"/>
      <c r="D79" s="8" t="inlineStr"/>
      <c r="E79" s="8" t="inlineStr"/>
      <c r="F79" s="8" t="inlineStr">
        <is>
          <t>100 × 699/1,098 and 100 × 399/1,098 (A8)</t>
        </is>
      </c>
    </row>
    <row r="80" ht="29.5" customHeight="1">
      <c r="A80" s="4" t="inlineStr">
        <is>
          <t>Spare emails</t>
        </is>
      </c>
      <c r="B80" s="8" t="inlineStr">
        <is>
          <t>buyer.test01@example.com to buyer.test10@example.com</t>
        </is>
      </c>
      <c r="C80" s="8" t="inlineStr"/>
      <c r="D80" s="8" t="inlineStr"/>
      <c r="E80" s="8" t="inlineStr"/>
      <c r="F80" s="8" t="inlineStr">
        <is>
          <t>Same pattern for seller.test, logistics.test, rider.test</t>
        </is>
      </c>
    </row>
    <row r="81" ht="29.5" customHeight="1">
      <c r="A81" s="4" t="inlineStr">
        <is>
          <t>Spare mobile numbers</t>
        </is>
      </c>
      <c r="B81" s="8" t="inlineStr">
        <is>
          <t>09170000001 to 09170000020</t>
        </is>
      </c>
      <c r="C81" s="8" t="inlineStr"/>
      <c r="D81" s="8" t="inlineStr"/>
      <c r="E81" s="8" t="inlineStr"/>
      <c r="F81" s="8" t="inlineStr"/>
    </row>
    <row r="82" ht="42.25" customHeight="1">
      <c r="A82" s="4" t="inlineStr">
        <is>
          <t>Long text samples</t>
        </is>
      </c>
      <c r="B82" s="8" t="inlineStr">
        <is>
          <t>Generate with any 'lorem ipsum' tool to the exact character count</t>
        </is>
      </c>
      <c r="C82" s="8" t="inlineStr"/>
      <c r="D82" s="8" t="inlineStr"/>
      <c r="E82" s="8" t="inlineStr"/>
      <c r="F82" s="8" t="inlineStr">
        <is>
          <t>Check the count in a character counter before pasting</t>
        </is>
      </c>
    </row>
    <row r="83" ht="42.25" customHeight="1">
      <c r="A83" s="4" t="inlineStr">
        <is>
          <t>Script and injection strings</t>
        </is>
      </c>
      <c r="B83" s="8" t="inlineStr">
        <is>
          <t>&lt;script&gt;alert(1)&lt;/script&gt;
' OR '1'='1
"&gt;&lt;img src=x onerror=alert(1)&gt;</t>
        </is>
      </c>
      <c r="C83" s="8" t="inlineStr"/>
      <c r="D83" s="8" t="inlineStr"/>
      <c r="E83" s="8" t="inlineStr"/>
      <c r="F83" s="8" t="inlineStr">
        <is>
          <t>Must be shown as text and never run</t>
        </is>
      </c>
    </row>
  </sheetData>
  <mergeCells count="1">
    <mergeCell ref="A2: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2" customWidth="1" min="1" max="1"/>
    <col width="18" customWidth="1" min="2" max="2"/>
    <col width="24" customWidth="1" min="3" max="3"/>
    <col width="46" customWidth="1" min="4" max="4"/>
    <col width="20" customWidth="1" min="5" max="5"/>
  </cols>
  <sheetData>
    <row r="1">
      <c r="A1" s="1" t="inlineStr">
        <is>
          <t>Upload files to prepare</t>
        </is>
      </c>
    </row>
    <row r="2" ht="30" customHeight="1">
      <c r="A2" s="11" t="inlineStr">
        <is>
          <t>Prepare these files before testing uploads. Use sample images only. The size limit is 5 MB, which is 5,120 KB or 5,242,880 bytes.</t>
        </is>
      </c>
    </row>
    <row r="4">
      <c r="A4" s="6" t="inlineStr">
        <is>
          <t>File name</t>
        </is>
      </c>
      <c r="B4" s="6" t="inlineStr">
        <is>
          <t>Type</t>
        </is>
      </c>
      <c r="C4" s="6" t="inlineStr">
        <is>
          <t>Size</t>
        </is>
      </c>
      <c r="D4" s="6" t="inlineStr">
        <is>
          <t>Used for</t>
        </is>
      </c>
      <c r="E4" s="6" t="inlineStr">
        <is>
          <t>Expected result</t>
        </is>
      </c>
    </row>
    <row r="5">
      <c r="A5" s="7" t="inlineStr">
        <is>
          <t>product_front.jpg</t>
        </is>
      </c>
      <c r="B5" s="8" t="inlineStr">
        <is>
          <t>JPG</t>
        </is>
      </c>
      <c r="C5" s="8" t="inlineStr">
        <is>
          <t>1.2 MB</t>
        </is>
      </c>
      <c r="D5" s="8" t="inlineStr">
        <is>
          <t>Product image</t>
        </is>
      </c>
      <c r="E5" s="8" t="inlineStr">
        <is>
          <t>Accept</t>
        </is>
      </c>
    </row>
    <row r="6">
      <c r="A6" s="7" t="inlineStr">
        <is>
          <t>product_side.png</t>
        </is>
      </c>
      <c r="B6" s="8" t="inlineStr">
        <is>
          <t>PNG</t>
        </is>
      </c>
      <c r="C6" s="8" t="inlineStr">
        <is>
          <t>2.4 MB</t>
        </is>
      </c>
      <c r="D6" s="8" t="inlineStr">
        <is>
          <t>Product image</t>
        </is>
      </c>
      <c r="E6" s="8" t="inlineStr">
        <is>
          <t>Accept</t>
        </is>
      </c>
    </row>
    <row r="7">
      <c r="A7" s="7" t="inlineStr">
        <is>
          <t>store_logo.png</t>
        </is>
      </c>
      <c r="B7" s="8" t="inlineStr">
        <is>
          <t>PNG</t>
        </is>
      </c>
      <c r="C7" s="8" t="inlineStr">
        <is>
          <t>300 KB</t>
        </is>
      </c>
      <c r="D7" s="8" t="inlineStr">
        <is>
          <t>Store logo</t>
        </is>
      </c>
      <c r="E7" s="8" t="inlineStr">
        <is>
          <t>Accept</t>
        </is>
      </c>
    </row>
    <row r="8">
      <c r="A8" s="7" t="inlineStr">
        <is>
          <t>store_banner.jpg</t>
        </is>
      </c>
      <c r="B8" s="8" t="inlineStr">
        <is>
          <t>JPG</t>
        </is>
      </c>
      <c r="C8" s="8" t="inlineStr">
        <is>
          <t>1.8 MB</t>
        </is>
      </c>
      <c r="D8" s="8" t="inlineStr">
        <is>
          <t>Store banner</t>
        </is>
      </c>
      <c r="E8" s="8" t="inlineStr">
        <is>
          <t>Accept</t>
        </is>
      </c>
    </row>
    <row r="9">
      <c r="A9" s="7" t="inlineStr">
        <is>
          <t>review_photo.jpg</t>
        </is>
      </c>
      <c r="B9" s="8" t="inlineStr">
        <is>
          <t>JPG</t>
        </is>
      </c>
      <c r="C9" s="8" t="inlineStr">
        <is>
          <t>1.5 MB</t>
        </is>
      </c>
      <c r="D9" s="8" t="inlineStr">
        <is>
          <t>Review photo / return evidence / chat attachment</t>
        </is>
      </c>
      <c r="E9" s="8" t="inlineStr">
        <is>
          <t>Accept</t>
        </is>
      </c>
    </row>
    <row r="10">
      <c r="A10" s="7" t="inlineStr">
        <is>
          <t>return_video.mp4</t>
        </is>
      </c>
      <c r="B10" s="8" t="inlineStr">
        <is>
          <t>MP4</t>
        </is>
      </c>
      <c r="C10" s="8" t="inlineStr">
        <is>
          <t>8 MB</t>
        </is>
      </c>
      <c r="D10" s="8" t="inlineStr">
        <is>
          <t>Return evidence video (if videos are supported)</t>
        </is>
      </c>
      <c r="E10" s="8" t="inlineStr">
        <is>
          <t>Accept per your rule</t>
        </is>
      </c>
    </row>
    <row r="11">
      <c r="A11" s="7" t="inlineStr">
        <is>
          <t>pod_photo.jpg</t>
        </is>
      </c>
      <c r="B11" s="8" t="inlineStr">
        <is>
          <t>JPG</t>
        </is>
      </c>
      <c r="C11" s="8" t="inlineStr">
        <is>
          <t>1.1 MB</t>
        </is>
      </c>
      <c r="D11" s="8" t="inlineStr">
        <is>
          <t>Rider proof of delivery</t>
        </is>
      </c>
      <c r="E11" s="8" t="inlineStr">
        <is>
          <t>Accept</t>
        </is>
      </c>
    </row>
    <row r="12">
      <c r="A12" s="7" t="inlineStr">
        <is>
          <t>size_4.9MB.jpg</t>
        </is>
      </c>
      <c r="B12" s="8" t="inlineStr">
        <is>
          <t>JPG</t>
        </is>
      </c>
      <c r="C12" s="8" t="inlineStr">
        <is>
          <t>4.9 MB (5,138,022 bytes)</t>
        </is>
      </c>
      <c r="D12" s="8" t="inlineStr">
        <is>
          <t>Just under the size limit</t>
        </is>
      </c>
      <c r="E12" s="8" t="inlineStr">
        <is>
          <t>Accept</t>
        </is>
      </c>
    </row>
    <row r="13">
      <c r="A13" s="7" t="inlineStr">
        <is>
          <t>size_5.0MB.jpg</t>
        </is>
      </c>
      <c r="B13" s="8" t="inlineStr">
        <is>
          <t>JPG</t>
        </is>
      </c>
      <c r="C13" s="8" t="inlineStr">
        <is>
          <t>5.0 MB (5,242,880 bytes)</t>
        </is>
      </c>
      <c r="D13" s="8" t="inlineStr">
        <is>
          <t>Exactly at the size limit</t>
        </is>
      </c>
      <c r="E13" s="8" t="inlineStr">
        <is>
          <t>Accept</t>
        </is>
      </c>
    </row>
    <row r="14">
      <c r="A14" s="7" t="inlineStr">
        <is>
          <t>size_5.1MB.jpg</t>
        </is>
      </c>
      <c r="B14" s="8" t="inlineStr">
        <is>
          <t>JPG</t>
        </is>
      </c>
      <c r="C14" s="8" t="inlineStr">
        <is>
          <t>5.1 MB (5,347,738 bytes)</t>
        </is>
      </c>
      <c r="D14" s="8" t="inlineStr">
        <is>
          <t>Just over the size limit</t>
        </is>
      </c>
      <c r="E14" s="8" t="inlineStr">
        <is>
          <t>Reject</t>
        </is>
      </c>
    </row>
    <row r="15">
      <c r="A15" s="7" t="inlineStr">
        <is>
          <t>price_list.docx</t>
        </is>
      </c>
      <c r="B15" s="8" t="inlineStr">
        <is>
          <t>DOCX</t>
        </is>
      </c>
      <c r="C15" s="8" t="inlineStr">
        <is>
          <t>320 KB</t>
        </is>
      </c>
      <c r="D15" s="8" t="inlineStr">
        <is>
          <t>Wrong file type (Word document)</t>
        </is>
      </c>
      <c r="E15" s="8" t="inlineStr">
        <is>
          <t>Reject</t>
        </is>
      </c>
    </row>
    <row r="16">
      <c r="A16" s="7" t="inlineStr">
        <is>
          <t>installer.exe</t>
        </is>
      </c>
      <c r="B16" s="8" t="inlineStr">
        <is>
          <t>EXE</t>
        </is>
      </c>
      <c r="C16" s="8" t="inlineStr">
        <is>
          <t>2.1 MB</t>
        </is>
      </c>
      <c r="D16" s="8" t="inlineStr">
        <is>
          <t>Wrong file type (program)</t>
        </is>
      </c>
      <c r="E16" s="8" t="inlineStr">
        <is>
          <t>Reject</t>
        </is>
      </c>
    </row>
    <row r="17">
      <c r="A17" s="7" t="inlineStr">
        <is>
          <t>renamed_exe.jpg</t>
        </is>
      </c>
      <c r="B17" s="8" t="inlineStr">
        <is>
          <t>JPG (really an EXE)</t>
        </is>
      </c>
      <c r="C17" s="8" t="inlineStr">
        <is>
          <t>2.1 MB</t>
        </is>
      </c>
      <c r="D17" s="8" t="inlineStr">
        <is>
          <t>Program renamed to .jpg</t>
        </is>
      </c>
      <c r="E17" s="8" t="inlineStr">
        <is>
          <t>Reject</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RID-PROF-001</t>
        </is>
      </c>
      <c r="B2" s="8" t="inlineStr">
        <is>
          <t>Profile, Vehicle &amp; Documents</t>
        </is>
      </c>
      <c r="C2" s="8" t="inlineStr">
        <is>
          <t>View profile, vehicle and verification status</t>
        </is>
      </c>
      <c r="D2" s="8" t="inlineStr">
        <is>
          <t>Use Case Testing</t>
        </is>
      </c>
      <c r="E2" s="8" t="inlineStr">
        <is>
          <t>Medium</t>
        </is>
      </c>
      <c r="F2" s="8" t="inlineStr">
        <is>
          <t>Logged in as Rider 1.</t>
        </is>
      </c>
      <c r="G2" s="8" t="inlineStr">
        <is>
          <t>1. Open My Profile.
2. Open each uploaded document.</t>
        </is>
      </c>
      <c r="H2" s="8" t="inlineStr"/>
      <c r="I2" s="8" t="inlineStr">
        <is>
          <t>Shows Pedro Jose Garcia, license N01-23-456789, expiry 03/22/2030, Motorcycle, plate 123ABC, company Bilis Hatid Express Inc., status Active. Both documents open.</t>
        </is>
      </c>
      <c r="J2" s="8" t="inlineStr">
        <is>
          <t>A1</t>
        </is>
      </c>
      <c r="K2" s="5" t="inlineStr">
        <is>
          <t xml:space="preserve">As expected. Shows Pedro Jose Garcia, license N01-23-456789, expiry 03/22/2030, Motorcycle, plate 123ABC, company Bilis Hatid Express Inc., status Active. Both documents open.</t>
        </is>
      </c>
      <c r="L2" s="5" t="inlineStr">
        <is>
          <t xml:space="preserve">Pass</t>
        </is>
      </c>
      <c r="M2" s="5" t="inlineStr">
        <is>
          <t xml:space="preserve">Verified by automated test RiderModulesSheetTest::test_RID_PROF_001_view_profile_vehicle_and_verification_status (PHPUnit), passed on 2026-10-19, build a5a130d.</t>
        </is>
      </c>
    </row>
    <row r="3" ht="55" customHeight="1">
      <c r="A3" s="7" t="inlineStr">
        <is>
          <t>RID-PROF-002</t>
        </is>
      </c>
      <c r="B3" s="8" t="inlineStr">
        <is>
          <t>Profile, Vehicle &amp; Documents</t>
        </is>
      </c>
      <c r="C3" s="8" t="inlineStr">
        <is>
          <t>Update vehicle details</t>
        </is>
      </c>
      <c r="D3" s="8" t="inlineStr">
        <is>
          <t>State Transition</t>
        </is>
      </c>
      <c r="E3" s="8" t="inlineStr">
        <is>
          <t>Medium</t>
        </is>
      </c>
      <c r="F3" s="8" t="inlineStr">
        <is>
          <t>Logged in as Rider 1.</t>
        </is>
      </c>
      <c r="G3" s="8" t="inlineStr">
        <is>
          <t>1. Change the plate number and upload a new OR/CR.
2. Save.
3. As Logistics 1, open Rider 1's record.</t>
        </is>
      </c>
      <c r="H3" s="8" t="inlineStr">
        <is>
          <t>Plate: 789GHI
OR/CR: or_cr.pdf (900 KB)</t>
        </is>
      </c>
      <c r="I3" s="8" t="inlineStr">
        <is>
          <t>The change is saved and shown to Logistics 1 with the new OR/CR, flagged for re-verification. The old plate is no longer shown.</t>
        </is>
      </c>
      <c r="J3" s="8" t="inlineStr"/>
      <c r="K3" s="5" t="inlineStr">
        <is>
          <t xml:space="preserve">As expected. The change is saved and shown to Logistics 1 with the new OR/CR, flagged for re-verification. The old plate is no longer shown.</t>
        </is>
      </c>
      <c r="L3" s="5" t="inlineStr">
        <is>
          <t xml:space="preserve">Pass</t>
        </is>
      </c>
      <c r="M3" s="5" t="inlineStr">
        <is>
          <t xml:space="preserve">Verified by automated test RiderModulesSheetTest::test_RID_PROF_002_update_vehicle_details (PHPUnit), passed on 2026-10-19, build a5a130d.</t>
        </is>
      </c>
    </row>
    <row r="4" ht="29.5" customHeight="1">
      <c r="A4" s="7" t="inlineStr">
        <is>
          <t>RID-PROF-003</t>
        </is>
      </c>
      <c r="B4" s="8" t="inlineStr">
        <is>
          <t>Profile, Vehicle &amp; Documents</t>
        </is>
      </c>
      <c r="C4" s="8" t="inlineStr">
        <is>
          <t>Plate number already used</t>
        </is>
      </c>
      <c r="D4" s="8" t="inlineStr">
        <is>
          <t>Equivalence Partitioning</t>
        </is>
      </c>
      <c r="E4" s="8" t="inlineStr">
        <is>
          <t>Medium</t>
        </is>
      </c>
      <c r="F4" s="8" t="inlineStr">
        <is>
          <t>Logged in as Rider 1.</t>
        </is>
      </c>
      <c r="G4" s="8" t="inlineStr">
        <is>
          <t>1. Change the plate to each value and save.</t>
        </is>
      </c>
      <c r="H4" s="8" t="inlineStr">
        <is>
          <t>NBC1234
nbc1234</t>
        </is>
      </c>
      <c r="I4" s="8" t="inlineStr">
        <is>
          <t>Both are blocked as already registered. The plate stays 123ABC.</t>
        </is>
      </c>
      <c r="J4" s="8" t="inlineStr"/>
      <c r="K4" s="5" t="inlineStr">
        <is>
          <t xml:space="preserve">Both are blocked: 'That plate number is already registered to another rider.' The plate stays 123ABC.</t>
        </is>
      </c>
      <c r="L4" s="5" t="inlineStr">
        <is>
          <t xml:space="preserve">Pass</t>
        </is>
      </c>
      <c r="M4" s="5" t="inlineStr">
        <is>
          <t xml:space="preserve">Verified by automated test RiderModulesSheetTest::test_RID_PROF_003_plate_number_already_used (PHPUnit), passed on 2026-10-19, build a5a130d.</t>
        </is>
      </c>
    </row>
    <row r="5" ht="42.25" customHeight="1">
      <c r="A5" s="7" t="inlineStr">
        <is>
          <t>RID-PROF-004</t>
        </is>
      </c>
      <c r="B5" s="8" t="inlineStr">
        <is>
          <t>Profile, Vehicle &amp; Documents</t>
        </is>
      </c>
      <c r="C5" s="8" t="inlineStr">
        <is>
          <t>License expiry boundary</t>
        </is>
      </c>
      <c r="D5" s="8" t="inlineStr">
        <is>
          <t>Boundary Value Analysis</t>
        </is>
      </c>
      <c r="E5" s="8" t="inlineStr">
        <is>
          <t>High</t>
        </is>
      </c>
      <c r="F5" s="8" t="inlineStr">
        <is>
          <t>Logged in as Rider 1.</t>
        </is>
      </c>
      <c r="G5" s="8" t="inlineStr">
        <is>
          <t>1. Set the license expiry to yesterday and save.
2. Set it to today and save.</t>
        </is>
      </c>
      <c r="H5" s="8" t="inlineStr"/>
      <c r="I5" s="8" t="inlineStr">
        <is>
          <t>Yesterday is rejected with an expiry message. Today is accepted.</t>
        </is>
      </c>
      <c r="J5" s="8" t="inlineStr"/>
      <c r="K5" s="5" t="inlineStr">
        <is>
          <t xml:space="preserve">Yesterday is rejected: 'Your driver's license has expired. Enter an expiry date from today onward.' Today is accepted.</t>
        </is>
      </c>
      <c r="L5" s="5" t="inlineStr">
        <is>
          <t xml:space="preserve">Pass</t>
        </is>
      </c>
      <c r="M5" s="5" t="inlineStr">
        <is>
          <t xml:space="preserve">Verified by automated test RiderModulesSheetTest::test_RID_PROF_004_license_expiry_boundary (PHPUnit), passed on 2026-10-19, build a5a130d.</t>
        </is>
      </c>
    </row>
    <row r="6" ht="55" customHeight="1">
      <c r="A6" s="7" t="inlineStr">
        <is>
          <t>RID-PROF-005</t>
        </is>
      </c>
      <c r="B6" s="8" t="inlineStr">
        <is>
          <t>Profile, Vehicle &amp; Documents</t>
        </is>
      </c>
      <c r="C6" s="8" t="inlineStr">
        <is>
          <t>Document upload rules</t>
        </is>
      </c>
      <c r="D6" s="8" t="inlineStr">
        <is>
          <t>Boundary Value Analysis</t>
        </is>
      </c>
      <c r="E6" s="8" t="inlineStr">
        <is>
          <t>Medium</t>
        </is>
      </c>
      <c r="F6" s="8" t="inlineStr">
        <is>
          <t>Logged in as Rider 1.</t>
        </is>
      </c>
      <c r="G6" s="8" t="inlineStr">
        <is>
          <t>1. Upload each file as the driver's license.</t>
        </is>
      </c>
      <c r="H6" s="8" t="inlineStr">
        <is>
          <t>size_5.0MB.jpg (accept)
size_5.1MB.jpg (reject)
price_list.docx (reject)
renamed_exe.jpg (reject)</t>
        </is>
      </c>
      <c r="I6" s="8" t="inlineStr">
        <is>
          <t>Only the 5.0 MB JPG is accepted; the others are rejected and the previous document is kept.</t>
        </is>
      </c>
      <c r="J6" s="8" t="inlineStr">
        <is>
          <t>A16</t>
        </is>
      </c>
      <c r="K6" s="5" t="inlineStr">
        <is>
          <t xml:space="preserve">Only the 5.0 MB JPG is accepted; the others are rejected ('The driver's license must be a JPG, PNG or PDF file of at most 5 MB.') and the previous document is kept.</t>
        </is>
      </c>
      <c r="L6" s="5" t="inlineStr">
        <is>
          <t xml:space="preserve">Pass</t>
        </is>
      </c>
      <c r="M6" s="5" t="inlineStr">
        <is>
          <t xml:space="preserve">Verified by automated test RiderModulesSheetTest::test_RID_PROF_005_document_upload_rules (PHPUnit), passed on 2026-10-19, build a5a130d.</t>
        </is>
      </c>
    </row>
    <row r="7" ht="42.25" customHeight="1">
      <c r="A7" s="7" t="inlineStr">
        <is>
          <t>RID-PROF-006</t>
        </is>
      </c>
      <c r="B7" s="8" t="inlineStr">
        <is>
          <t>Profile, Vehicle &amp; Documents</t>
        </is>
      </c>
      <c r="C7" s="8" t="inlineStr">
        <is>
          <t>Suspended rider cannot work</t>
        </is>
      </c>
      <c r="D7" s="8" t="inlineStr">
        <is>
          <t>State Transition</t>
        </is>
      </c>
      <c r="E7" s="8" t="inlineStr">
        <is>
          <t>High</t>
        </is>
      </c>
      <c r="F7" s="8" t="inlineStr">
        <is>
          <t>Logged in as Rider 3 (Suspended).</t>
        </is>
      </c>
      <c r="G7" s="8" t="inlineStr">
        <is>
          <t>1. Try to go Online.
2. Logistics 1 creates a job near Rider 3 and runs auto-assign.</t>
        </is>
      </c>
      <c r="H7" s="8" t="inlineStr"/>
      <c r="I7" s="8" t="inlineStr">
        <is>
          <t>Rider 3 cannot go Online and sees a suspension message. Rider 3 receives no offer and is not selectable for manual assignment.</t>
        </is>
      </c>
      <c r="J7" s="8" t="inlineStr">
        <is>
          <t>A14</t>
        </is>
      </c>
      <c r="K7" s="5" t="inlineStr">
        <is>
          <t xml:space="preserve">Rider 3 cannot go Online (suspended accounts are signed out). Rider 3 gets no offer and is not listed for manual assignment; a direct assignment is refused: 'Ramon Cruz is not an active rider.'</t>
        </is>
      </c>
      <c r="L7" s="5" t="inlineStr">
        <is>
          <t xml:space="preserve">Pass</t>
        </is>
      </c>
      <c r="M7" s="5" t="inlineStr">
        <is>
          <t xml:space="preserve">Verified by automated test RiderModulesSheetTest::test_RID_PROF_006_suspended_rider_cannot_work (PHPUnit), passed on 2026-10-19, build a5a130d.</t>
        </is>
      </c>
    </row>
    <row r="8" ht="29.5" customHeight="1">
      <c r="A8" s="7" t="inlineStr">
        <is>
          <t>RID-PROF-007</t>
        </is>
      </c>
      <c r="B8" s="8" t="inlineStr">
        <is>
          <t>Profile, Vehicle &amp; Documents</t>
        </is>
      </c>
      <c r="C8" s="8" t="inlineStr">
        <is>
          <t>Rider cannot see another rider's profile</t>
        </is>
      </c>
      <c r="D8" s="8" t="inlineStr">
        <is>
          <t>Error Guessing</t>
        </is>
      </c>
      <c r="E8" s="8" t="inlineStr">
        <is>
          <t>High</t>
        </is>
      </c>
      <c r="F8" s="8" t="inlineStr">
        <is>
          <t>Logged in as Rider 1.</t>
        </is>
      </c>
      <c r="G8" s="8" t="inlineStr">
        <is>
          <t>1. Change the rider ID in the profile URL or request to Rider 2's.</t>
        </is>
      </c>
      <c r="H8" s="8" t="inlineStr"/>
      <c r="I8" s="8" t="inlineStr">
        <is>
          <t>Denied. No Rider 2 data is shown.</t>
        </is>
      </c>
      <c r="J8" s="8" t="inlineStr">
        <is>
          <t>A22</t>
        </is>
      </c>
      <c r="K8" s="5" t="inlineStr">
        <is>
          <t xml:space="preserve">Denied: the profile URL has no rider ID (always your own), and opening another rider's document is refused. No Rider 2 data is shown.</t>
        </is>
      </c>
      <c r="L8" s="5" t="inlineStr">
        <is>
          <t xml:space="preserve">Pass</t>
        </is>
      </c>
      <c r="M8" s="5" t="inlineStr">
        <is>
          <t xml:space="preserve">Verified by automated test RiderModulesSheetTest::test_RID_PROF_007_rider_cannot_see_another_riders_profile (PHPUnit), passed on 2026-10-19, build a5a130d.</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67.75" customHeight="1">
      <c r="A2" s="7" t="inlineStr">
        <is>
          <t>RID-AVAIL-001</t>
        </is>
      </c>
      <c r="B2" s="8" t="inlineStr">
        <is>
          <t>Availability</t>
        </is>
      </c>
      <c r="C2" s="8" t="inlineStr">
        <is>
          <t>Go Online</t>
        </is>
      </c>
      <c r="D2" s="8" t="inlineStr">
        <is>
          <t>State Transition</t>
        </is>
      </c>
      <c r="E2" s="8" t="inlineStr">
        <is>
          <t>High</t>
        </is>
      </c>
      <c r="F2" s="8" t="inlineStr">
        <is>
          <t>Logged in as Rider 1, Offline. Rider 2 is Offline.</t>
        </is>
      </c>
      <c r="G2" s="8" t="inlineStr">
        <is>
          <t>1. Toggle Online.
2. As Logistics 1, open the rider list.
3. Seller 1 has a COD order for P-02 to ADDR-1 (total ₱500.00) marked Ready for Pickup. Run auto-assign.</t>
        </is>
      </c>
      <c r="H2" s="8" t="inlineStr"/>
      <c r="I2" s="8" t="inlineStr">
        <is>
          <t>Logistics 1 sees Rider 1 as Online within a few seconds. Rider 1 receives the offer.</t>
        </is>
      </c>
      <c r="J2" s="8" t="inlineStr">
        <is>
          <t>A14</t>
        </is>
      </c>
      <c r="K2" s="5" t="inlineStr">
        <is>
          <t xml:space="preserve">As expected. Logistics 1 sees Rider 1 as Online within a few seconds. Rider 1 receives the offer.</t>
        </is>
      </c>
      <c r="L2" s="5" t="inlineStr">
        <is>
          <t xml:space="preserve">Pass</t>
        </is>
      </c>
      <c r="M2" s="5" t="inlineStr">
        <is>
          <t xml:space="preserve">Verified by automated test RiderModulesSheetTest::test_RID_AVAIL_001_go_online (PHPUnit), passed on 2026-10-19, build a5a130d.</t>
        </is>
      </c>
    </row>
    <row r="3" ht="55" customHeight="1">
      <c r="A3" s="7" t="inlineStr">
        <is>
          <t>RID-AVAIL-002</t>
        </is>
      </c>
      <c r="B3" s="8" t="inlineStr">
        <is>
          <t>Availability</t>
        </is>
      </c>
      <c r="C3" s="8" t="inlineStr">
        <is>
          <t>Go Offline</t>
        </is>
      </c>
      <c r="D3" s="8" t="inlineStr">
        <is>
          <t>State Transition</t>
        </is>
      </c>
      <c r="E3" s="8" t="inlineStr">
        <is>
          <t>High</t>
        </is>
      </c>
      <c r="F3" s="8" t="inlineStr">
        <is>
          <t>Logged in as Rider 1 (Active, Online, 0 active jobs). Rider 2 is Online.</t>
        </is>
      </c>
      <c r="G3" s="8" t="inlineStr">
        <is>
          <t>1. Toggle Offline.
2. Logistics 1 runs auto-assign for a new job.
3. Logistics 1 opens Manual Assign.</t>
        </is>
      </c>
      <c r="H3" s="8" t="inlineStr"/>
      <c r="I3" s="8" t="inlineStr">
        <is>
          <t>Rider 1 receives no offer, and is not listed in Manual Assign. The job goes to Rider 2.</t>
        </is>
      </c>
      <c r="J3" s="8" t="inlineStr">
        <is>
          <t>A14</t>
        </is>
      </c>
      <c r="K3" s="5" t="inlineStr">
        <is>
          <t xml:space="preserve">As expected. Rider 1 receives no offer, and is not listed in Manual Assign. The job goes to Rider 2.</t>
        </is>
      </c>
      <c r="L3" s="5" t="inlineStr">
        <is>
          <t xml:space="preserve">Pass</t>
        </is>
      </c>
      <c r="M3" s="5" t="inlineStr">
        <is>
          <t xml:space="preserve">Verified by automated test RiderModulesSheetTest::test_RID_AVAIL_002_go_offline (PHPUnit), passed on 2026-10-19, build a5a130d.</t>
        </is>
      </c>
    </row>
    <row r="4" ht="42.25" customHeight="1">
      <c r="A4" s="7" t="inlineStr">
        <is>
          <t>RID-AVAIL-003</t>
        </is>
      </c>
      <c r="B4" s="8" t="inlineStr">
        <is>
          <t>Availability</t>
        </is>
      </c>
      <c r="C4" s="8" t="inlineStr">
        <is>
          <t>Go Offline with an active job</t>
        </is>
      </c>
      <c r="D4" s="8" t="inlineStr">
        <is>
          <t>State Transition</t>
        </is>
      </c>
      <c r="E4" s="8" t="inlineStr">
        <is>
          <t>Medium</t>
        </is>
      </c>
      <c r="F4" s="8" t="inlineStr">
        <is>
          <t>Logged in as Rider 1 (Active, Online, 0 active jobs). Rider 1 has a Picked Up parcel.</t>
        </is>
      </c>
      <c r="G4" s="8" t="inlineStr">
        <is>
          <t>1. Toggle Offline.
2. Open My Jobs.</t>
        </is>
      </c>
      <c r="H4" s="8" t="inlineStr"/>
      <c r="I4" s="8" t="inlineStr">
        <is>
          <t>Offline is allowed. The Picked Up job stays with Rider 1 and can still be delivered. No new offers arrive.</t>
        </is>
      </c>
      <c r="J4" s="8" t="inlineStr">
        <is>
          <t>A14</t>
        </is>
      </c>
      <c r="K4" s="5" t="inlineStr">
        <is>
          <t xml:space="preserve">As expected. Offline is allowed. The Picked Up job stays with Rider 1 and can still be delivered. No new offers arrive.</t>
        </is>
      </c>
      <c r="L4" s="5" t="inlineStr">
        <is>
          <t xml:space="preserve">Pass</t>
        </is>
      </c>
      <c r="M4" s="5" t="inlineStr">
        <is>
          <t xml:space="preserve">Verified by automated test RiderModulesSheetTest::test_RID_AVAIL_003_go_offline_with_an_active_job (PHPUnit), passed on 2026-10-19, build a5a130d.</t>
        </is>
      </c>
    </row>
    <row r="5" ht="42.25" customHeight="1">
      <c r="A5" s="7" t="inlineStr">
        <is>
          <t>RID-AVAIL-004</t>
        </is>
      </c>
      <c r="B5" s="8" t="inlineStr">
        <is>
          <t>Availability</t>
        </is>
      </c>
      <c r="C5" s="8" t="inlineStr">
        <is>
          <t>Offline after logout or session timeout</t>
        </is>
      </c>
      <c r="D5" s="8" t="inlineStr">
        <is>
          <t>Error Guessing</t>
        </is>
      </c>
      <c r="E5" s="8" t="inlineStr">
        <is>
          <t>Low</t>
        </is>
      </c>
      <c r="F5" s="8" t="inlineStr">
        <is>
          <t>Logged in as Rider 1 (Active, Online, 0 active jobs).</t>
        </is>
      </c>
      <c r="G5" s="8" t="inlineStr">
        <is>
          <t>1. Log out.
2. As Logistics 1, check the rider list and run auto-assign.</t>
        </is>
      </c>
      <c r="H5" s="8" t="inlineStr"/>
      <c r="I5" s="8" t="inlineStr">
        <is>
          <t>Rider 1 shows Offline and gets no offer.</t>
        </is>
      </c>
      <c r="J5" s="8" t="inlineStr">
        <is>
          <t>A22</t>
        </is>
      </c>
      <c r="K5" s="5" t="inlineStr">
        <is>
          <t xml:space="preserve">As expected. Rider 1 shows Offline and gets no offer.</t>
        </is>
      </c>
      <c r="L5" s="5" t="inlineStr">
        <is>
          <t xml:space="preserve">Pass</t>
        </is>
      </c>
      <c r="M5" s="5" t="inlineStr">
        <is>
          <t xml:space="preserve">Verified by automated test RiderModulesSheetTest::test_RID_AVAIL_004_offline_after_logout_or_session_timeout (PHPUnit), passed on 2026-10-19, build a5a130d.</t>
        </is>
      </c>
    </row>
  </sheetData>
  <autoFilter ref="A1:M5"/>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RID-JOB-001</t>
        </is>
      </c>
      <c r="B2" s="8" t="inlineStr">
        <is>
          <t>Job Assignment</t>
        </is>
      </c>
      <c r="C2" s="8" t="inlineStr">
        <is>
          <t>View and accept a job</t>
        </is>
      </c>
      <c r="D2" s="8" t="inlineStr">
        <is>
          <t>Use Case Testing</t>
        </is>
      </c>
      <c r="E2" s="8" t="inlineStr">
        <is>
          <t>High</t>
        </is>
      </c>
      <c r="F2" s="8" t="inlineStr">
        <is>
          <t>Logged in as Rider 1 (Active, Online, 0 active jobs). Seller 1 has a COD order for P-02 to ADDR-1 (total ₱500.00) marked Ready for Pickup. The job is offered to Rider 1.</t>
        </is>
      </c>
      <c r="G2" s="8" t="inlineStr">
        <is>
          <t>1. Open the offer.
2. Check the details.
3. Click Accept.</t>
        </is>
      </c>
      <c r="H2" s="8" t="inlineStr"/>
      <c r="I2" s="8" t="inlineStr">
        <is>
          <t>The offer shows pickup (Seller 1, Commonwealth, QC), drop-off area (Brgy. Central, QC), COD ₱500.00 and pay ₱30.00 pickup. After Accept, the job is Assigned to Rider 1 and Logistics 1 sees Rider 1 as the assignee.</t>
        </is>
      </c>
      <c r="J2" s="8" t="inlineStr">
        <is>
          <t>A10, A33</t>
        </is>
      </c>
      <c r="K2" s="5" t="inlineStr">
        <is>
          <t xml:space="preserve">As expected. The offer shows pickup (Seller 1, Commonwealth, QC), drop-off area (Brgy. Central, QC), COD ₱500.00 and pay ₱30.00 pickup. After Accept, the job is Assigned to Rider 1 and Logistics 1 sees Rider 1 as the assignee.</t>
        </is>
      </c>
      <c r="L2" s="5" t="inlineStr">
        <is>
          <t xml:space="preserve">Pass</t>
        </is>
      </c>
      <c r="M2" s="5" t="inlineStr">
        <is>
          <t xml:space="preserve">Verified by automated test RiderModulesSheetTest::test_RID_JOB_001_view_and_accept_a_job (PHPUnit), passed on 2026-10-19, build a5a130d.</t>
        </is>
      </c>
    </row>
    <row r="3" ht="42.25" customHeight="1">
      <c r="A3" s="7" t="inlineStr">
        <is>
          <t>RID-JOB-002</t>
        </is>
      </c>
      <c r="B3" s="8" t="inlineStr">
        <is>
          <t>Job Assignment</t>
        </is>
      </c>
      <c r="C3" s="8" t="inlineStr">
        <is>
          <t>Decline a job</t>
        </is>
      </c>
      <c r="D3" s="8" t="inlineStr">
        <is>
          <t>Use Case Testing</t>
        </is>
      </c>
      <c r="E3" s="8" t="inlineStr">
        <is>
          <t>Medium</t>
        </is>
      </c>
      <c r="F3" s="8" t="inlineStr">
        <is>
          <t>Logged in as Rider 1 (Active, Online, 0 active jobs). A job is offered; Rider 2 is Online.</t>
        </is>
      </c>
      <c r="G3" s="8" t="inlineStr">
        <is>
          <t>1. Click Decline.</t>
        </is>
      </c>
      <c r="H3" s="8" t="inlineStr"/>
      <c r="I3" s="8" t="inlineStr">
        <is>
          <t>The offer disappears for Rider 1 and is offered to Rider 2. Rider 1 is not assigned.</t>
        </is>
      </c>
      <c r="J3" s="8" t="inlineStr">
        <is>
          <t>A14</t>
        </is>
      </c>
      <c r="K3" s="5" t="inlineStr">
        <is>
          <t xml:space="preserve">As expected. The offer disappears for Rider 1 and is offered to Rider 2. Rider 1 is not assigned.</t>
        </is>
      </c>
      <c r="L3" s="5" t="inlineStr">
        <is>
          <t xml:space="preserve">Pass</t>
        </is>
      </c>
      <c r="M3" s="5" t="inlineStr">
        <is>
          <t xml:space="preserve">Verified by automated test RiderModulesSheetTest::test_RID_JOB_002_decline_a_job (PHPUnit), passed on 2026-10-19, build a5a130d.</t>
        </is>
      </c>
    </row>
    <row r="4" ht="55" customHeight="1">
      <c r="A4" s="7" t="inlineStr">
        <is>
          <t>RID-JOB-003</t>
        </is>
      </c>
      <c r="B4" s="8" t="inlineStr">
        <is>
          <t>Job Assignment</t>
        </is>
      </c>
      <c r="C4" s="8" t="inlineStr">
        <is>
          <t>Offer timeout</t>
        </is>
      </c>
      <c r="D4" s="8" t="inlineStr">
        <is>
          <t>Boundary Value Analysis</t>
        </is>
      </c>
      <c r="E4" s="8" t="inlineStr">
        <is>
          <t>High</t>
        </is>
      </c>
      <c r="F4" s="8" t="inlineStr">
        <is>
          <t>Logged in as Rider 1 (Active, Online, 0 active jobs).</t>
        </is>
      </c>
      <c r="G4" s="8" t="inlineStr">
        <is>
          <t>1. On one offer, click Accept at 55–59 seconds.
2. On another offer, wait 61 seconds and click Accept.</t>
        </is>
      </c>
      <c r="H4" s="8" t="inlineStr"/>
      <c r="I4" s="8" t="inlineStr">
        <is>
          <t>The first Accept succeeds. After 60 seconds the second offer is expired; Accept is disabled or rejected and the job goes to the next rider.</t>
        </is>
      </c>
      <c r="J4" s="8" t="inlineStr">
        <is>
          <t>A14</t>
        </is>
      </c>
      <c r="K4" s="5" t="inlineStr">
        <is>
          <t xml:space="preserve">The Accept at 59 seconds succeeds. After 60 seconds the second offer is expired; Accept is rejected ('This job offer has expired.') and the job is offered to Rider 2.</t>
        </is>
      </c>
      <c r="L4" s="5" t="inlineStr">
        <is>
          <t xml:space="preserve">Pass</t>
        </is>
      </c>
      <c r="M4" s="5" t="inlineStr">
        <is>
          <t xml:space="preserve">Verified by automated test RiderModulesSheetTest::test_RID_JOB_003_offer_timeout (PHPUnit), passed on 2026-10-19, build a5a130d.</t>
        </is>
      </c>
    </row>
    <row r="5" ht="55" customHeight="1">
      <c r="A5" s="7" t="inlineStr">
        <is>
          <t>RID-JOB-004</t>
        </is>
      </c>
      <c r="B5" s="8" t="inlineStr">
        <is>
          <t>Job Assignment</t>
        </is>
      </c>
      <c r="C5" s="8" t="inlineStr">
        <is>
          <t>Job goes to Unassigned after 3 declines</t>
        </is>
      </c>
      <c r="D5" s="8" t="inlineStr">
        <is>
          <t>State Transition</t>
        </is>
      </c>
      <c r="E5" s="8" t="inlineStr">
        <is>
          <t>Medium</t>
        </is>
      </c>
      <c r="F5" s="8" t="inlineStr">
        <is>
          <t>Riders 1 and 2 and one more rider are Online.</t>
        </is>
      </c>
      <c r="G5" s="8" t="inlineStr">
        <is>
          <t>1. Each of the 3 riders declines the same job in turn.
2. As Logistics 1, open the Unassigned queue.</t>
        </is>
      </c>
      <c r="H5" s="8" t="inlineStr"/>
      <c r="I5" s="8" t="inlineStr">
        <is>
          <t>After the 3rd decline the job is in the Unassigned queue and no longer offered automatically.</t>
        </is>
      </c>
      <c r="J5" s="8" t="inlineStr">
        <is>
          <t>A14</t>
        </is>
      </c>
      <c r="K5" s="5" t="inlineStr">
        <is>
          <t xml:space="preserve">As expected. After the 3rd decline the job is in the Unassigned queue and no longer offered automatically.</t>
        </is>
      </c>
      <c r="L5" s="5" t="inlineStr">
        <is>
          <t xml:space="preserve">Pass</t>
        </is>
      </c>
      <c r="M5" s="5" t="inlineStr">
        <is>
          <t xml:space="preserve">Verified by automated test RiderModulesSheetTest::test_RID_JOB_004_job_goes_to_unassigned_after_3_declines (PHPUnit), passed on 2026-10-19, build a5a130d.</t>
        </is>
      </c>
    </row>
    <row r="6" ht="67.75" customHeight="1">
      <c r="A6" s="7" t="inlineStr">
        <is>
          <t>RID-JOB-005</t>
        </is>
      </c>
      <c r="B6" s="8" t="inlineStr">
        <is>
          <t>Job Assignment</t>
        </is>
      </c>
      <c r="C6" s="8" t="inlineStr">
        <is>
          <t>Accept and manual assignment at the same moment</t>
        </is>
      </c>
      <c r="D6" s="8" t="inlineStr">
        <is>
          <t>Error Guessing</t>
        </is>
      </c>
      <c r="E6" s="8" t="inlineStr">
        <is>
          <t>High</t>
        </is>
      </c>
      <c r="F6" s="8" t="inlineStr">
        <is>
          <t>Logged in as Rider 1 (Active, Online, 0 active jobs). A job is offered to Rider 1. Rider 2 is Online with 0 jobs.</t>
        </is>
      </c>
      <c r="G6" s="8" t="inlineStr">
        <is>
          <t>1. At the same moment, Rider 1 clicks Accept and Logistics 1 manually assigns the job to Rider 2.
2. Check both riders' job lists and Logistics 1's view.</t>
        </is>
      </c>
      <c r="H6" s="8" t="inlineStr"/>
      <c r="I6" s="8" t="inlineStr">
        <is>
          <t>Exactly one rider has the job, and Logistics 1 shows that same rider. The other side gets a clear 'already assigned' message. No duplicate job exists.</t>
        </is>
      </c>
      <c r="J6" s="8" t="inlineStr">
        <is>
          <t>A37</t>
        </is>
      </c>
      <c r="K6" s="5" t="inlineStr">
        <is>
          <t xml:space="preserve">Exactly one rider has the job (whoever is first; here Rider 1) and Logistics 1 shows that rider. The other side gets 'This job was already assigned to Pedro Jose Garcia.' No duplicate job exists.</t>
        </is>
      </c>
      <c r="L6" s="5" t="inlineStr">
        <is>
          <t xml:space="preserve">Pass</t>
        </is>
      </c>
      <c r="M6" s="5" t="inlineStr">
        <is>
          <t xml:space="preserve">Verified by automated test RiderModulesSheetTest::test_RID_JOB_005_accept_and_manual_assignment_at_the_same_moment (PHPUnit), passed on 2026-10-19, build a5a130d.</t>
        </is>
      </c>
    </row>
    <row r="7" ht="42.25" customHeight="1">
      <c r="A7" s="7" t="inlineStr">
        <is>
          <t>RID-JOB-006</t>
        </is>
      </c>
      <c r="B7" s="8" t="inlineStr">
        <is>
          <t>Job Assignment</t>
        </is>
      </c>
      <c r="C7" s="8" t="inlineStr">
        <is>
          <t>Concurrent job limit</t>
        </is>
      </c>
      <c r="D7" s="8" t="inlineStr">
        <is>
          <t>Boundary Value Analysis</t>
        </is>
      </c>
      <c r="E7" s="8" t="inlineStr">
        <is>
          <t>High</t>
        </is>
      </c>
      <c r="F7" s="8" t="inlineStr">
        <is>
          <t>Logged in as Rider 1 (Active, Online, 0 active jobs). Rider 1 has 2 active jobs.</t>
        </is>
      </c>
      <c r="G7" s="8" t="inlineStr">
        <is>
          <t>1. Accept a 3rd job.
2. Logistics 1 runs auto-assign and tries manual assign for a 4th job to Rider 1.</t>
        </is>
      </c>
      <c r="H7" s="8" t="inlineStr"/>
      <c r="I7" s="8" t="inlineStr">
        <is>
          <t>The 3rd is accepted. Rider 1 gets no 4th offer, and manual assign of a 4th is blocked.</t>
        </is>
      </c>
      <c r="J7" s="8" t="inlineStr">
        <is>
          <t>A14</t>
        </is>
      </c>
      <c r="K7" s="5" t="inlineStr">
        <is>
          <t xml:space="preserve">The 3rd is accepted. Rider 1 gets no 4th offer, and manual assign of a 4th is blocked: 'Pedro Jose Garcia already has 3 active jobs (the limit).'</t>
        </is>
      </c>
      <c r="L7" s="5" t="inlineStr">
        <is>
          <t xml:space="preserve">Pass</t>
        </is>
      </c>
      <c r="M7" s="5" t="inlineStr">
        <is>
          <t xml:space="preserve">Verified by automated test RiderModulesSheetTest::test_RID_JOB_006_concurrent_job_limit (PHPUnit), passed on 2026-10-19, build a5a130d.</t>
        </is>
      </c>
    </row>
    <row r="8" ht="29.5" customHeight="1">
      <c r="A8" s="7" t="inlineStr">
        <is>
          <t>RID-JOB-007</t>
        </is>
      </c>
      <c r="B8" s="8" t="inlineStr">
        <is>
          <t>Job Assignment</t>
        </is>
      </c>
      <c r="C8" s="8" t="inlineStr">
        <is>
          <t>Cannot accept another company's job</t>
        </is>
      </c>
      <c r="D8" s="8" t="inlineStr">
        <is>
          <t>Error Guessing</t>
        </is>
      </c>
      <c r="E8" s="8" t="inlineStr">
        <is>
          <t>High</t>
        </is>
      </c>
      <c r="F8" s="8" t="inlineStr">
        <is>
          <t>Logged in as Rider 1 (Active, Online, 0 active jobs).</t>
        </is>
      </c>
      <c r="G8" s="8" t="inlineStr">
        <is>
          <t>1. Send an accept request with a job ID belonging to Logistics 2.</t>
        </is>
      </c>
      <c r="H8" s="8" t="inlineStr"/>
      <c r="I8" s="8" t="inlineStr">
        <is>
          <t>Rejected (403 or not found). The job is unchanged.</t>
        </is>
      </c>
      <c r="J8" s="8" t="inlineStr">
        <is>
          <t>A22</t>
        </is>
      </c>
      <c r="K8" s="5" t="inlineStr">
        <is>
          <t xml:space="preserve">Rejected ('Job offer not found.'; the pickup is outside Rider 1's areas). The job is unchanged.</t>
        </is>
      </c>
      <c r="L8" s="5" t="inlineStr">
        <is>
          <t xml:space="preserve">Pass</t>
        </is>
      </c>
      <c r="M8" s="5" t="inlineStr">
        <is>
          <t xml:space="preserve">Verified by automated test RiderModulesSheetTest::test_RID_JOB_007_cannot_accept_another_companys_job (PHPUnit), passed on 2026-10-19, build a5a130d.</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RID-PICK-001</t>
        </is>
      </c>
      <c r="B2" s="8" t="inlineStr">
        <is>
          <t>Pickup</t>
        </is>
      </c>
      <c r="C2" s="8" t="inlineStr">
        <is>
          <t>Pickup details shown</t>
        </is>
      </c>
      <c r="D2" s="8" t="inlineStr">
        <is>
          <t>Use Case Testing</t>
        </is>
      </c>
      <c r="E2" s="8" t="inlineStr">
        <is>
          <t>Medium</t>
        </is>
      </c>
      <c r="F2" s="8" t="inlineStr">
        <is>
          <t>Logged in as Rider 1 (Active, Online, 0 active jobs). The pickup job above is Assigned to Rider 1.</t>
        </is>
      </c>
      <c r="G2" s="8" t="inlineStr">
        <is>
          <t>1. Open the job.</t>
        </is>
      </c>
      <c r="H2" s="8" t="inlineStr"/>
      <c r="I2" s="8" t="inlineStr">
        <is>
          <t>Shows Seller 1's name, pickup address, contact number, tracking number and 1 parcel.</t>
        </is>
      </c>
      <c r="J2" s="8" t="inlineStr"/>
      <c r="K2" s="5" t="inlineStr">
        <is>
          <t xml:space="preserve">As expected. Shows Seller 1's name, pickup address, contact number, tracking number and 1 parcel.</t>
        </is>
      </c>
      <c r="L2" s="5" t="inlineStr">
        <is>
          <t xml:space="preserve">Pass</t>
        </is>
      </c>
      <c r="M2" s="5" t="inlineStr">
        <is>
          <t xml:space="preserve">Verified by automated test RiderModulesSheetTest::test_RID_PICK_001_pickup_details_shown (PHPUnit), passed on 2026-10-19, build a5a130d.</t>
        </is>
      </c>
    </row>
    <row r="3" ht="55" customHeight="1">
      <c r="A3" s="7" t="inlineStr">
        <is>
          <t>RID-PICK-002</t>
        </is>
      </c>
      <c r="B3" s="8" t="inlineStr">
        <is>
          <t>Pickup</t>
        </is>
      </c>
      <c r="C3" s="8" t="inlineStr">
        <is>
          <t>Confirm pickup by scanning</t>
        </is>
      </c>
      <c r="D3" s="8" t="inlineStr">
        <is>
          <t>State Transition</t>
        </is>
      </c>
      <c r="E3" s="8" t="inlineStr">
        <is>
          <t>High</t>
        </is>
      </c>
      <c r="F3" s="8" t="inlineStr">
        <is>
          <t>Logged in as Rider 1 (Active, Online, 0 active jobs).</t>
        </is>
      </c>
      <c r="G3" s="8" t="inlineStr">
        <is>
          <t>1. At Seller 1, scan the waybill barcode.
2. Check the job, Seller 1's order and Buyer 1's order.</t>
        </is>
      </c>
      <c r="H3" s="8" t="inlineStr">
        <is>
          <t>Tracking number from the waybill</t>
        </is>
      </c>
      <c r="I3" s="8" t="inlineStr">
        <is>
          <t>Status is Picked Up with the scan time in all three views. Buyer 1's order moves to To Receive. Seller 1 can no longer cancel. Rider 1 earns ₱30.00.</t>
        </is>
      </c>
      <c r="J3" s="8" t="inlineStr">
        <is>
          <t>A6, A10, A33</t>
        </is>
      </c>
      <c r="K3" s="5" t="inlineStr">
        <is>
          <t xml:space="preserve">Status Picked Up with the scan time in the job, Seller 1's and Buyer 1's orders. Buyer 1's order moves to To Receive. Seller 1 can no longer cancel. Rider 1 earns ₱30.00.</t>
        </is>
      </c>
      <c r="L3" s="5" t="inlineStr">
        <is>
          <t xml:space="preserve">Pass</t>
        </is>
      </c>
      <c r="M3" s="5" t="inlineStr">
        <is>
          <t xml:space="preserve">Verified by automated test RiderModulesSheetTest::test_RID_PICK_002_confirm_pickup_by_scanning (PHPUnit), passed on 2026-10-19, build a5a130d.</t>
        </is>
      </c>
    </row>
    <row r="4" ht="29.5" customHeight="1">
      <c r="A4" s="7" t="inlineStr">
        <is>
          <t>RID-PICK-003</t>
        </is>
      </c>
      <c r="B4" s="8" t="inlineStr">
        <is>
          <t>Pickup</t>
        </is>
      </c>
      <c r="C4" s="8" t="inlineStr">
        <is>
          <t>Confirm pickup by typing the tracking number</t>
        </is>
      </c>
      <c r="D4" s="8" t="inlineStr">
        <is>
          <t>State Transition</t>
        </is>
      </c>
      <c r="E4" s="8" t="inlineStr">
        <is>
          <t>Medium</t>
        </is>
      </c>
      <c r="F4" s="8" t="inlineStr">
        <is>
          <t>Logged in as Rider 1 (Active, Online, 0 active jobs).</t>
        </is>
      </c>
      <c r="G4" s="8" t="inlineStr">
        <is>
          <t>1. Type the tracking number instead of scanning.</t>
        </is>
      </c>
      <c r="H4" s="8" t="inlineStr"/>
      <c r="I4" s="8" t="inlineStr">
        <is>
          <t>Status becomes Picked Up exactly as with a scan.</t>
        </is>
      </c>
      <c r="J4" s="8" t="inlineStr"/>
      <c r="K4" s="5" t="inlineStr">
        <is>
          <t xml:space="preserve">As expected. Status becomes Picked Up exactly as with a scan.</t>
        </is>
      </c>
      <c r="L4" s="5" t="inlineStr">
        <is>
          <t xml:space="preserve">Pass</t>
        </is>
      </c>
      <c r="M4" s="5" t="inlineStr">
        <is>
          <t xml:space="preserve">Verified by automated test RiderModulesSheetTest::test_RID_PICK_003_confirm_pickup_by_typing_the_tracking_number (PHPUnit), passed on 2026-10-19, build a5a130d.</t>
        </is>
      </c>
    </row>
    <row r="5" ht="42.25" customHeight="1">
      <c r="A5" s="7" t="inlineStr">
        <is>
          <t>RID-PICK-004</t>
        </is>
      </c>
      <c r="B5" s="8" t="inlineStr">
        <is>
          <t>Pickup</t>
        </is>
      </c>
      <c r="C5" s="8" t="inlineStr">
        <is>
          <t>Wrong tracking number</t>
        </is>
      </c>
      <c r="D5" s="8" t="inlineStr">
        <is>
          <t>Equivalence Partitioning</t>
        </is>
      </c>
      <c r="E5" s="8" t="inlineStr">
        <is>
          <t>High</t>
        </is>
      </c>
      <c r="F5" s="8" t="inlineStr">
        <is>
          <t>Logged in as Rider 1 (Active, Online, 0 active jobs).</t>
        </is>
      </c>
      <c r="G5" s="8" t="inlineStr">
        <is>
          <t>1. Scan or type another order's tracking number.
2. Type a random value.</t>
        </is>
      </c>
      <c r="H5" s="8" t="inlineStr">
        <is>
          <t>TRK-0000000</t>
        </is>
      </c>
      <c r="I5" s="8" t="inlineStr">
        <is>
          <t>Both are rejected with 'tracking number does not match this job'. Status stays Assigned.</t>
        </is>
      </c>
      <c r="J5" s="8" t="inlineStr"/>
      <c r="K5" s="5" t="inlineStr">
        <is>
          <t xml:space="preserve">Both are rejected with 'The tracking number does not match this job.' Status stays Pickup Assigned.</t>
        </is>
      </c>
      <c r="L5" s="5" t="inlineStr">
        <is>
          <t xml:space="preserve">Pass</t>
        </is>
      </c>
      <c r="M5" s="5" t="inlineStr">
        <is>
          <t xml:space="preserve">Verified by automated test RiderModulesSheetTest::test_RID_PICK_004_wrong_tracking_number (PHPUnit), passed on 2026-10-19, build a5a130d.</t>
        </is>
      </c>
    </row>
    <row r="6" ht="29.5" customHeight="1">
      <c r="A6" s="7" t="inlineStr">
        <is>
          <t>RID-PICK-005</t>
        </is>
      </c>
      <c r="B6" s="8" t="inlineStr">
        <is>
          <t>Pickup</t>
        </is>
      </c>
      <c r="C6" s="8" t="inlineStr">
        <is>
          <t>Double scan at pickup</t>
        </is>
      </c>
      <c r="D6" s="8" t="inlineStr">
        <is>
          <t>Error Guessing</t>
        </is>
      </c>
      <c r="E6" s="8" t="inlineStr">
        <is>
          <t>Low</t>
        </is>
      </c>
      <c r="F6" s="8" t="inlineStr">
        <is>
          <t>Logged in as Rider 1 (Active, Online, 0 active jobs).</t>
        </is>
      </c>
      <c r="G6" s="8" t="inlineStr">
        <is>
          <t>1. Scan the same waybill twice.</t>
        </is>
      </c>
      <c r="H6" s="8" t="inlineStr"/>
      <c r="I6" s="8" t="inlineStr">
        <is>
          <t>One Picked Up event only; the second scan shows 'already picked up'. Pay counted once.</t>
        </is>
      </c>
      <c r="J6" s="8" t="inlineStr">
        <is>
          <t>A37</t>
        </is>
      </c>
      <c r="K6" s="5" t="inlineStr">
        <is>
          <t xml:space="preserve">One Picked Up event only; the second scan shows 'This parcel was already picked up.' Pay counted once (₱30.00).</t>
        </is>
      </c>
      <c r="L6" s="5" t="inlineStr">
        <is>
          <t xml:space="preserve">Pass</t>
        </is>
      </c>
      <c r="M6" s="5" t="inlineStr">
        <is>
          <t xml:space="preserve">Verified by automated test RiderModulesSheetTest::test_RID_PICK_005_double_scan_at_pickup (PHPUnit), passed on 2026-10-19, build a5a130d.</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80.5" customHeight="1">
      <c r="A2" s="7" t="inlineStr">
        <is>
          <t>RID-DLV-001</t>
        </is>
      </c>
      <c r="B2" s="8" t="inlineStr">
        <is>
          <t>Delivery &amp; Status Updates</t>
        </is>
      </c>
      <c r="C2" s="8" t="inlineStr">
        <is>
          <t>Deliver with proof in sequence</t>
        </is>
      </c>
      <c r="D2" s="8" t="inlineStr">
        <is>
          <t>State Transition</t>
        </is>
      </c>
      <c r="E2" s="8" t="inlineStr">
        <is>
          <t>High</t>
        </is>
      </c>
      <c r="F2" s="8" t="inlineStr">
        <is>
          <t>Logged in as Rider 1 (Active, Online, 0 active jobs). The P-02 parcel is At Hub and assigned to Rider 1 for delivery.</t>
        </is>
      </c>
      <c r="G2" s="8" t="inlineStr">
        <is>
          <t>1. Mark Out for Delivery.
2. At ADDR-1, take the POD photo.
3. Ask Buyer 1 for the OTP and enter it.
4. Enter COD ₱500.00 and mark Delivered.
5. Check Buyer 1's, Seller 1's and Logistics 1's views.</t>
        </is>
      </c>
      <c r="H2" s="8" t="inlineStr">
        <is>
          <t>Photo: pod_photo.jpg
OTP: from Buyer 1's order page
COD: ₱500.00</t>
        </is>
      </c>
      <c r="I2" s="8" t="inlineStr">
        <is>
          <t>Each status is shown in all views with times. After Delivered: Buyer 1 sees Delivered with the photo, Rider 1's COD balance rises by ₱500.00 and pay by ₱50.00.</t>
        </is>
      </c>
      <c r="J2" s="8" t="inlineStr">
        <is>
          <t>A10, A32, A33</t>
        </is>
      </c>
      <c r="K2" s="5" t="inlineStr">
        <is>
          <t xml:space="preserve">As expected. Each status is shown in all views with times. After Delivered: Buyer 1 sees Delivered with the photo, Rider 1's COD balance rises by ₱500.00 and pay by ₱50.00.</t>
        </is>
      </c>
      <c r="L2" s="5" t="inlineStr">
        <is>
          <t xml:space="preserve">Pass</t>
        </is>
      </c>
      <c r="M2" s="5" t="inlineStr">
        <is>
          <t xml:space="preserve">Verified by automated test RiderModulesSheetTest::test_RID_DLV_001_deliver_with_proof_in_sequence (PHPUnit), passed on 2026-10-19, build a5a130d.</t>
        </is>
      </c>
    </row>
    <row r="3" ht="55" customHeight="1">
      <c r="A3" s="7" t="inlineStr">
        <is>
          <t>RID-DLV-002</t>
        </is>
      </c>
      <c r="B3" s="8" t="inlineStr">
        <is>
          <t>Delivery &amp; Status Updates</t>
        </is>
      </c>
      <c r="C3" s="8" t="inlineStr">
        <is>
          <t>Skipping a status</t>
        </is>
      </c>
      <c r="D3" s="8" t="inlineStr">
        <is>
          <t>State Transition</t>
        </is>
      </c>
      <c r="E3" s="8" t="inlineStr">
        <is>
          <t>High</t>
        </is>
      </c>
      <c r="F3" s="8" t="inlineStr">
        <is>
          <t>Logged in as Rider 1 (Active, Online, 0 active jobs). A delivery job is Assigned, not yet Out for Delivery.</t>
        </is>
      </c>
      <c r="G3" s="8" t="inlineStr">
        <is>
          <t>1. Look for Delivered.
2. Send the Delivered request directly if possible.</t>
        </is>
      </c>
      <c r="H3" s="8" t="inlineStr"/>
      <c r="I3" s="8" t="inlineStr">
        <is>
          <t>Delivered is not available and a direct request is rejected. Status unchanged.</t>
        </is>
      </c>
      <c r="J3" s="8" t="inlineStr">
        <is>
          <t>A10</t>
        </is>
      </c>
      <c r="K3" s="5" t="inlineStr">
        <is>
          <t xml:space="preserve">Delivered is not offered and a direct request is refused: 'This order must be moved to Out for Delivery first.'</t>
        </is>
      </c>
      <c r="L3" s="5" t="inlineStr">
        <is>
          <t xml:space="preserve">Pass</t>
        </is>
      </c>
      <c r="M3" s="5" t="inlineStr">
        <is>
          <t xml:space="preserve">Verified by automated test RiderModulesSheetTest::test_RID_DLV_002_skipping_a_status (PHPUnit), passed on 2026-10-19, build a5a130d.</t>
        </is>
      </c>
    </row>
    <row r="4" ht="42.25" customHeight="1">
      <c r="A4" s="7" t="inlineStr">
        <is>
          <t>RID-DLV-003</t>
        </is>
      </c>
      <c r="B4" s="8" t="inlineStr">
        <is>
          <t>Delivery &amp; Status Updates</t>
        </is>
      </c>
      <c r="C4" s="8" t="inlineStr">
        <is>
          <t>Photo is required</t>
        </is>
      </c>
      <c r="D4" s="8" t="inlineStr">
        <is>
          <t>Equivalence Partitioning</t>
        </is>
      </c>
      <c r="E4" s="8" t="inlineStr">
        <is>
          <t>High</t>
        </is>
      </c>
      <c r="F4" s="8" t="inlineStr">
        <is>
          <t>Logged in as Rider 1 (Active, Online, 0 active jobs). A job is Out for Delivery.</t>
        </is>
      </c>
      <c r="G4" s="8" t="inlineStr">
        <is>
          <t>1. Enter the OTP and COD without a photo and tap Delivered.
2. Attach a 5.1 MB photo.</t>
        </is>
      </c>
      <c r="H4" s="8" t="inlineStr"/>
      <c r="I4" s="8" t="inlineStr">
        <is>
          <t>Both are blocked with a message. The status stays Out for Delivery.</t>
        </is>
      </c>
      <c r="J4" s="8" t="inlineStr">
        <is>
          <t>A16, A32</t>
        </is>
      </c>
      <c r="K4" s="5" t="inlineStr">
        <is>
          <t xml:space="preserve">Both are blocked: 'Take a photo of the parcel with the buyer (JPG, PNG or WEBP, up to 5 MB) to mark it Delivered.' Status stays Out for Delivery.</t>
        </is>
      </c>
      <c r="L4" s="5" t="inlineStr">
        <is>
          <t xml:space="preserve">Pass</t>
        </is>
      </c>
      <c r="M4" s="5" t="inlineStr">
        <is>
          <t xml:space="preserve">Verified by automated test RiderModulesSheetTest::test_RID_DLV_003_photo_is_required (PHPUnit), passed on 2026-10-19, build a5a130d.</t>
        </is>
      </c>
    </row>
    <row r="5" ht="67.75" customHeight="1">
      <c r="A5" s="7" t="inlineStr">
        <is>
          <t>RID-DLV-004</t>
        </is>
      </c>
      <c r="B5" s="8" t="inlineStr">
        <is>
          <t>Delivery &amp; Status Updates</t>
        </is>
      </c>
      <c r="C5" s="8" t="inlineStr">
        <is>
          <t>OTP checks</t>
        </is>
      </c>
      <c r="D5" s="8" t="inlineStr">
        <is>
          <t>Boundary Value Analysis</t>
        </is>
      </c>
      <c r="E5" s="8" t="inlineStr">
        <is>
          <t>High</t>
        </is>
      </c>
      <c r="F5" s="8" t="inlineStr">
        <is>
          <t>Logged in as Rider 1 (Active, Online, 0 active jobs). A job is Out for Delivery.</t>
        </is>
      </c>
      <c r="G5" s="8" t="inlineStr">
        <is>
          <t>1. Enter 12345 (5 digits).
2. Enter a wrong 6-digit OTP 5 times.
3. Enter the correct OTP immediately after.
4. Enter it again after 15 minutes.</t>
        </is>
      </c>
      <c r="H5" s="8" t="inlineStr"/>
      <c r="I5" s="8" t="inlineStr">
        <is>
          <t>5 digits is rejected. Each wrong OTP is rejected. After the 5th wrong entry, entry is locked for 15 minutes (the correct OTP is also refused). After 15 minutes the correct OTP works.</t>
        </is>
      </c>
      <c r="J5" s="8" t="inlineStr">
        <is>
          <t>A32</t>
        </is>
      </c>
      <c r="K5" s="5" t="inlineStr">
        <is>
          <t xml:space="preserve">12345 is rejected ('Enter the buyer's 6-digit delivery OTP.'). Each wrong OTP is rejected with the tries left; the 5th locks entry for 15 minutes and the correct OTP is refused too. After 15 minutes the correct OTP works.</t>
        </is>
      </c>
      <c r="L5" s="5" t="inlineStr">
        <is>
          <t xml:space="preserve">Pass</t>
        </is>
      </c>
      <c r="M5" s="5" t="inlineStr">
        <is>
          <t xml:space="preserve">Verified by automated test RiderModulesSheetTest::test_RID_DLV_004_otp_checks (PHPUnit), passed on 2026-10-19, build a5a130d.</t>
        </is>
      </c>
    </row>
    <row r="6" ht="42.25" customHeight="1">
      <c r="A6" s="7" t="inlineStr">
        <is>
          <t>RID-DLV-005</t>
        </is>
      </c>
      <c r="B6" s="8" t="inlineStr">
        <is>
          <t>Delivery &amp; Status Updates</t>
        </is>
      </c>
      <c r="C6" s="8" t="inlineStr">
        <is>
          <t>COD amount must match</t>
        </is>
      </c>
      <c r="D6" s="8" t="inlineStr">
        <is>
          <t>Boundary Value Analysis</t>
        </is>
      </c>
      <c r="E6" s="8" t="inlineStr">
        <is>
          <t>High</t>
        </is>
      </c>
      <c r="F6" s="8" t="inlineStr">
        <is>
          <t>Logged in as Rider 1 (Active, Online, 0 active jobs). COD job for ₱500.00.</t>
        </is>
      </c>
      <c r="G6" s="8" t="inlineStr">
        <is>
          <t>1. Enter ₱499.99 and submit.
2. Enter ₱500.01 and submit.
3. Enter ₱500.00 and submit.</t>
        </is>
      </c>
      <c r="H6" s="8" t="inlineStr"/>
      <c r="I6" s="8" t="inlineStr">
        <is>
          <t>₱499.99 and ₱500.01 are rejected with a mismatch message. Only ₱500.00 completes delivery.</t>
        </is>
      </c>
      <c r="J6" s="8" t="inlineStr">
        <is>
          <t>A24</t>
        </is>
      </c>
      <c r="K6" s="5" t="inlineStr">
        <is>
          <t xml:space="preserve">₱499.99 and ₱500.01 are rejected: 'The COD amount collected must be exactly ₱500.00.' Only ₱500.00 completes delivery.</t>
        </is>
      </c>
      <c r="L6" s="5" t="inlineStr">
        <is>
          <t xml:space="preserve">Pass</t>
        </is>
      </c>
      <c r="M6" s="5" t="inlineStr">
        <is>
          <t xml:space="preserve">Verified by automated test RiderModulesSheetTest::test_RID_DLV_005_cod_amount_must_match (PHPUnit), passed on 2026-10-19, build a5a130d.</t>
        </is>
      </c>
    </row>
    <row r="7" ht="42.25" customHeight="1">
      <c r="A7" s="7" t="inlineStr">
        <is>
          <t>RID-DLV-006</t>
        </is>
      </c>
      <c r="B7" s="8" t="inlineStr">
        <is>
          <t>Delivery &amp; Status Updates</t>
        </is>
      </c>
      <c r="C7" s="8" t="inlineStr">
        <is>
          <t>Prepaid order has no COD</t>
        </is>
      </c>
      <c r="D7" s="8" t="inlineStr">
        <is>
          <t>Equivalence Partitioning</t>
        </is>
      </c>
      <c r="E7" s="8" t="inlineStr">
        <is>
          <t>Medium</t>
        </is>
      </c>
      <c r="F7" s="8" t="inlineStr">
        <is>
          <t>Logged in as Rider 1 (Active, Online, 0 active jobs). Prepaid job.</t>
        </is>
      </c>
      <c r="G7" s="8" t="inlineStr">
        <is>
          <t>1. Open the job and complete delivery.</t>
        </is>
      </c>
      <c r="H7" s="8" t="inlineStr"/>
      <c r="I7" s="8" t="inlineStr">
        <is>
          <t>COD shows ₱0.00 / Paid; no amount is asked for, and the COD balance does not change.</t>
        </is>
      </c>
      <c r="J7" s="8" t="inlineStr"/>
      <c r="K7" s="5" t="inlineStr">
        <is>
          <t xml:space="preserve">The job shows 'Paid online — COD ₱0.00'; no amount is asked for, and the COD balance stays ₱0.00.</t>
        </is>
      </c>
      <c r="L7" s="5" t="inlineStr">
        <is>
          <t xml:space="preserve">Pass</t>
        </is>
      </c>
      <c r="M7" s="5" t="inlineStr">
        <is>
          <t xml:space="preserve">Verified by automated test RiderModulesSheetTest::test_RID_DLV_006_prepaid_order_has_no_cod (PHPUnit), passed on 2026-10-19, build a5a130d.</t>
        </is>
      </c>
    </row>
    <row r="8" ht="29.5" customHeight="1">
      <c r="A8" s="7" t="inlineStr">
        <is>
          <t>RID-DLV-007</t>
        </is>
      </c>
      <c r="B8" s="8" t="inlineStr">
        <is>
          <t>Delivery &amp; Status Updates</t>
        </is>
      </c>
      <c r="C8" s="8" t="inlineStr">
        <is>
          <t>Cannot update another rider's job</t>
        </is>
      </c>
      <c r="D8" s="8" t="inlineStr">
        <is>
          <t>Error Guessing</t>
        </is>
      </c>
      <c r="E8" s="8" t="inlineStr">
        <is>
          <t>High</t>
        </is>
      </c>
      <c r="F8" s="8" t="inlineStr">
        <is>
          <t>Logged in as Rider 1 (Active, Online, 0 active jobs).</t>
        </is>
      </c>
      <c r="G8" s="8" t="inlineStr">
        <is>
          <t>1. Send a status update for a job assigned to Rider 2.</t>
        </is>
      </c>
      <c r="H8" s="8" t="inlineStr"/>
      <c r="I8" s="8" t="inlineStr">
        <is>
          <t>Rejected. Rider 2's job is unchanged.</t>
        </is>
      </c>
      <c r="J8" s="8" t="inlineStr">
        <is>
          <t>A22</t>
        </is>
      </c>
      <c r="K8" s="5" t="inlineStr">
        <is>
          <t xml:space="preserve">Rejected: 'This delivery is not assigned to you.' Rider 2's job is unchanged.</t>
        </is>
      </c>
      <c r="L8" s="5" t="inlineStr">
        <is>
          <t xml:space="preserve">Pass</t>
        </is>
      </c>
      <c r="M8" s="5" t="inlineStr">
        <is>
          <t xml:space="preserve">Verified by automated test RiderModulesSheetTest::test_RID_DLV_007_cannot_update_another_riders_job (PHPUnit), passed on 2026-10-19, build a5a130d.</t>
        </is>
      </c>
    </row>
  </sheetData>
  <autoFilter ref="A1:M8"/>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55" customHeight="1">
      <c r="A2" s="7" t="inlineStr">
        <is>
          <t>RID-FAIL-001</t>
        </is>
      </c>
      <c r="B2" s="8" t="inlineStr">
        <is>
          <t>Failed Delivery</t>
        </is>
      </c>
      <c r="C2" s="8" t="inlineStr">
        <is>
          <t>Mark failed with a reason</t>
        </is>
      </c>
      <c r="D2" s="8" t="inlineStr">
        <is>
          <t>State Transition</t>
        </is>
      </c>
      <c r="E2" s="8" t="inlineStr">
        <is>
          <t>High</t>
        </is>
      </c>
      <c r="F2" s="8" t="inlineStr">
        <is>
          <t>Logged in as Rider 1 (Active, Online, 0 active jobs). A COD job is Out for Delivery.</t>
        </is>
      </c>
      <c r="G2" s="8" t="inlineStr">
        <is>
          <t>1. Mark Failed and choose 'Buyer not home'.
2. Check Buyer 1's and Logistics 1's views.</t>
        </is>
      </c>
      <c r="H2" s="8" t="inlineStr"/>
      <c r="I2" s="8" t="inlineStr">
        <is>
          <t>Status Failed Delivery, attempt 1 of 3, with the reason. Buyer 1 and Logistics 1 are notified. No COD is collected and pay is ₱0.00 for the attempt.</t>
        </is>
      </c>
      <c r="J2" s="8" t="inlineStr">
        <is>
          <t>A13, A23, A33</t>
        </is>
      </c>
      <c r="K2" s="5" t="inlineStr">
        <is>
          <t xml:space="preserve">Status Delivery Failed (= Failed Delivery), attempt 1 of 3, with the reason (Buyer not available = not home). Buyer 1 and Logistics 1 are notified. No COD is collected and pay is ₱0.00.</t>
        </is>
      </c>
      <c r="L2" s="5" t="inlineStr">
        <is>
          <t xml:space="preserve">Pass</t>
        </is>
      </c>
      <c r="M2" s="5" t="inlineStr">
        <is>
          <t xml:space="preserve">Reason names per BoomBuy rule A13. Verified by automated test RiderModulesSheetTest::test_RID_FAIL_001_mark_failed_with_a_reason (PHPUnit), passed on 2026-10-19, build a5a130d.</t>
        </is>
      </c>
    </row>
    <row r="3" ht="29.5" customHeight="1">
      <c r="A3" s="7" t="inlineStr">
        <is>
          <t>RID-FAIL-002</t>
        </is>
      </c>
      <c r="B3" s="8" t="inlineStr">
        <is>
          <t>Failed Delivery</t>
        </is>
      </c>
      <c r="C3" s="8" t="inlineStr">
        <is>
          <t>Reason required</t>
        </is>
      </c>
      <c r="D3" s="8" t="inlineStr">
        <is>
          <t>Equivalence Partitioning</t>
        </is>
      </c>
      <c r="E3" s="8" t="inlineStr">
        <is>
          <t>Medium</t>
        </is>
      </c>
      <c r="F3" s="8" t="inlineStr">
        <is>
          <t>Logged in as Rider 1 (Active, Online, 0 active jobs).</t>
        </is>
      </c>
      <c r="G3" s="8" t="inlineStr">
        <is>
          <t>1. Mark Failed without choosing a reason.</t>
        </is>
      </c>
      <c r="H3" s="8" t="inlineStr"/>
      <c r="I3" s="8" t="inlineStr">
        <is>
          <t>Blocked; status unchanged.</t>
        </is>
      </c>
      <c r="J3" s="8" t="inlineStr">
        <is>
          <t>A13</t>
        </is>
      </c>
      <c r="K3" s="5" t="inlineStr">
        <is>
          <t xml:space="preserve">Blocked: 'Please choose a reason for the failed delivery.' Status unchanged.</t>
        </is>
      </c>
      <c r="L3" s="5" t="inlineStr">
        <is>
          <t xml:space="preserve">Pass</t>
        </is>
      </c>
      <c r="M3" s="5" t="inlineStr">
        <is>
          <t xml:space="preserve">Verified by automated test RiderModulesSheetTest::test_RID_FAIL_002_reason_required (PHPUnit), passed on 2026-10-19, build a5a130d.</t>
        </is>
      </c>
    </row>
    <row r="4" ht="42.25" customHeight="1">
      <c r="A4" s="7" t="inlineStr">
        <is>
          <t>RID-FAIL-003</t>
        </is>
      </c>
      <c r="B4" s="8" t="inlineStr">
        <is>
          <t>Failed Delivery</t>
        </is>
      </c>
      <c r="C4" s="8" t="inlineStr">
        <is>
          <t>Refused goes straight to Return to Sender</t>
        </is>
      </c>
      <c r="D4" s="8" t="inlineStr">
        <is>
          <t>State Transition</t>
        </is>
      </c>
      <c r="E4" s="8" t="inlineStr">
        <is>
          <t>High</t>
        </is>
      </c>
      <c r="F4" s="8" t="inlineStr">
        <is>
          <t>Logged in as Rider 1 (Active, Online, 0 active jobs). Attempt 1.</t>
        </is>
      </c>
      <c r="G4" s="8" t="inlineStr">
        <is>
          <t>1. Mark Failed with 'Refused'.</t>
        </is>
      </c>
      <c r="H4" s="8" t="inlineStr"/>
      <c r="I4" s="8" t="inlineStr">
        <is>
          <t>Status Return to Sender immediately; no further attempt is scheduled.</t>
        </is>
      </c>
      <c r="J4" s="8" t="inlineStr">
        <is>
          <t>A13</t>
        </is>
      </c>
      <c r="K4" s="5" t="inlineStr">
        <is>
          <t xml:space="preserve">Shown as Return to Sender immediately; rescheduling is refused (the buyer refused it).</t>
        </is>
      </c>
      <c r="L4" s="5" t="inlineStr">
        <is>
          <t xml:space="preserve">Pass</t>
        </is>
      </c>
      <c r="M4" s="5" t="inlineStr">
        <is>
          <t xml:space="preserve">Verified by automated test RiderModulesSheetTest::test_RID_FAIL_003_refused_goes_straight_to_return_to_sender (PHPUnit), passed on 2026-10-19, build a5a130d.</t>
        </is>
      </c>
    </row>
    <row r="5" ht="29.5" customHeight="1">
      <c r="A5" s="7" t="inlineStr">
        <is>
          <t>RID-FAIL-004</t>
        </is>
      </c>
      <c r="B5" s="8" t="inlineStr">
        <is>
          <t>Failed Delivery</t>
        </is>
      </c>
      <c r="C5" s="8" t="inlineStr">
        <is>
          <t>Attempt counter and reschedule</t>
        </is>
      </c>
      <c r="D5" s="8" t="inlineStr">
        <is>
          <t>State Transition</t>
        </is>
      </c>
      <c r="E5" s="8" t="inlineStr">
        <is>
          <t>High</t>
        </is>
      </c>
      <c r="F5" s="8" t="inlineStr">
        <is>
          <t>Attempt 1 failed (Buyer not home).</t>
        </is>
      </c>
      <c r="G5" s="8" t="inlineStr">
        <is>
          <t>1. Logistics 1 reschedules; Rider 1 goes Out for Delivery again and delivers.</t>
        </is>
      </c>
      <c r="H5" s="8" t="inlineStr"/>
      <c r="I5" s="8" t="inlineStr">
        <is>
          <t>The job shows attempt 2 of 3 and completes normally on success.</t>
        </is>
      </c>
      <c r="J5" s="8" t="inlineStr">
        <is>
          <t>A13</t>
        </is>
      </c>
      <c r="K5" s="5" t="inlineStr">
        <is>
          <t xml:space="preserve">As expected. The job shows attempt 2 of 3 and completes normally on success.</t>
        </is>
      </c>
      <c r="L5" s="5" t="inlineStr">
        <is>
          <t xml:space="preserve">Pass</t>
        </is>
      </c>
      <c r="M5" s="5" t="inlineStr">
        <is>
          <t xml:space="preserve">Verified by automated test RiderModulesSheetTest::test_RID_FAIL_004_attempt_counter_and_reschedule (PHPUnit), passed on 2026-10-19, build a5a130d.</t>
        </is>
      </c>
    </row>
    <row r="6" ht="29.5" customHeight="1">
      <c r="A6" s="7" t="inlineStr">
        <is>
          <t>RID-FAIL-005</t>
        </is>
      </c>
      <c r="B6" s="8" t="inlineStr">
        <is>
          <t>Failed Delivery</t>
        </is>
      </c>
      <c r="C6" s="8" t="inlineStr">
        <is>
          <t>Return to Sender after the 3rd failed attempt</t>
        </is>
      </c>
      <c r="D6" s="8" t="inlineStr">
        <is>
          <t>Boundary Value Analysis</t>
        </is>
      </c>
      <c r="E6" s="8" t="inlineStr">
        <is>
          <t>High</t>
        </is>
      </c>
      <c r="F6" s="8" t="inlineStr">
        <is>
          <t>Attempts 1 and 2 failed (Buyer not home).</t>
        </is>
      </c>
      <c r="G6" s="8" t="inlineStr">
        <is>
          <t>1. Fail attempt 3 with 'Wrong address'.</t>
        </is>
      </c>
      <c r="H6" s="8" t="inlineStr"/>
      <c r="I6" s="8" t="inlineStr">
        <is>
          <t>Status Return to Sender. No 4th attempt is possible. Buyer 1 and Seller 1 are notified.</t>
        </is>
      </c>
      <c r="J6" s="8" t="inlineStr">
        <is>
          <t>A13</t>
        </is>
      </c>
      <c r="K6" s="5" t="inlineStr">
        <is>
          <t xml:space="preserve">Return to Sender. No 4th attempt ('maximum delivery attempts'). Buyer 1 and Seller 1 are notified.</t>
        </is>
      </c>
      <c r="L6" s="5" t="inlineStr">
        <is>
          <t xml:space="preserve">Pass</t>
        </is>
      </c>
      <c r="M6" s="5" t="inlineStr">
        <is>
          <t xml:space="preserve">'Wrong address' = 'Wrong or incomplete address' (A13). Verified by automated test RiderModulesSheetTest::test_RID_FAIL_005_return_to_sender_after_the_3rd_failed_attempt (PHPUnit), passed on 2026-10-19, build a5a130d.</t>
        </is>
      </c>
    </row>
  </sheetData>
  <autoFilter ref="A1:M6"/>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8" customWidth="1" min="2" max="2"/>
    <col width="28" customWidth="1" min="3" max="3"/>
    <col width="16" customWidth="1" min="4" max="4"/>
    <col width="9" customWidth="1" min="5" max="5"/>
    <col width="30" customWidth="1" min="6" max="6"/>
    <col width="40" customWidth="1" min="7" max="7"/>
    <col width="34" customWidth="1" min="8" max="8"/>
    <col width="44" customWidth="1" min="9" max="9"/>
    <col width="11" customWidth="1" min="10" max="10"/>
    <col width="30" customWidth="1" min="11" max="11"/>
    <col width="10" customWidth="1" min="12" max="12"/>
    <col width="24" customWidth="1" min="13" max="13"/>
  </cols>
  <sheetData>
    <row r="1" ht="27.75" customHeight="1">
      <c r="A1" s="6" t="inlineStr">
        <is>
          <t>Test Case ID</t>
        </is>
      </c>
      <c r="B1" s="6" t="inlineStr">
        <is>
          <t>Module</t>
        </is>
      </c>
      <c r="C1" s="6" t="inlineStr">
        <is>
          <t>Test Scenario</t>
        </is>
      </c>
      <c r="D1" s="6" t="inlineStr">
        <is>
          <t>Technique</t>
        </is>
      </c>
      <c r="E1" s="6" t="inlineStr">
        <is>
          <t>Priority</t>
        </is>
      </c>
      <c r="F1" s="6" t="inlineStr">
        <is>
          <t>Preconditions</t>
        </is>
      </c>
      <c r="G1" s="6" t="inlineStr">
        <is>
          <t>Test Steps</t>
        </is>
      </c>
      <c r="H1" s="6" t="inlineStr">
        <is>
          <t>Test Data</t>
        </is>
      </c>
      <c r="I1" s="6" t="inlineStr">
        <is>
          <t>Expected Result</t>
        </is>
      </c>
      <c r="J1" s="6" t="inlineStr">
        <is>
          <t>Assumption Ref</t>
        </is>
      </c>
      <c r="K1" s="6" t="inlineStr">
        <is>
          <t>Actual Result</t>
        </is>
      </c>
      <c r="L1" s="6" t="inlineStr">
        <is>
          <t>Status</t>
        </is>
      </c>
      <c r="M1" s="6" t="inlineStr">
        <is>
          <t>Remarks</t>
        </is>
      </c>
    </row>
    <row r="2" ht="42.25" customHeight="1">
      <c r="A2" s="7" t="inlineStr">
        <is>
          <t>RID-EARN-001</t>
        </is>
      </c>
      <c r="B2" s="8" t="inlineStr">
        <is>
          <t>History, Earnings &amp; COD Remittance</t>
        </is>
      </c>
      <c r="C2" s="8" t="inlineStr">
        <is>
          <t>Delivery history</t>
        </is>
      </c>
      <c r="D2" s="8" t="inlineStr">
        <is>
          <t>Use Case Testing</t>
        </is>
      </c>
      <c r="E2" s="8" t="inlineStr">
        <is>
          <t>Medium</t>
        </is>
      </c>
      <c r="F2" s="8" t="inlineStr">
        <is>
          <t>Logged in as Rider 1 (Active, Online, 0 active jobs). Rider 1 has completed and failed jobs.</t>
        </is>
      </c>
      <c r="G2" s="8" t="inlineStr">
        <is>
          <t>1. Open History and filter by date.</t>
        </is>
      </c>
      <c r="H2" s="8" t="inlineStr"/>
      <c r="I2" s="8" t="inlineStr">
        <is>
          <t>Every job is listed once with date, tracking number, result and pay.</t>
        </is>
      </c>
      <c r="J2" s="8" t="inlineStr"/>
      <c r="K2" s="5" t="inlineStr">
        <is>
          <t xml:space="preserve">As expected. Every job is listed once with date, tracking number, result and pay.</t>
        </is>
      </c>
      <c r="L2" s="5" t="inlineStr">
        <is>
          <t xml:space="preserve">Pass</t>
        </is>
      </c>
      <c r="M2" s="5" t="inlineStr">
        <is>
          <t xml:space="preserve">Verified by automated test RiderModulesSheetTest::test_RID_EARN_001_delivery_history (PHPUnit), passed on 2026-10-19, build a5a130d.</t>
        </is>
      </c>
    </row>
    <row r="3" ht="55" customHeight="1">
      <c r="A3" s="7" t="inlineStr">
        <is>
          <t>RID-EARN-002</t>
        </is>
      </c>
      <c r="B3" s="8" t="inlineStr">
        <is>
          <t>History, Earnings &amp; COD Remittance</t>
        </is>
      </c>
      <c r="C3" s="8" t="inlineStr">
        <is>
          <t>Pay per job and daily total</t>
        </is>
      </c>
      <c r="D3" s="8" t="inlineStr">
        <is>
          <t>Use Case Testing</t>
        </is>
      </c>
      <c r="E3" s="8" t="inlineStr">
        <is>
          <t>High</t>
        </is>
      </c>
      <c r="F3" s="8" t="inlineStr">
        <is>
          <t>Logged in as Rider 1 (Active, Online, 0 active jobs). Today: 2 pickups, 3 successful deliveries, 1 failed attempt.</t>
        </is>
      </c>
      <c r="G3" s="8" t="inlineStr">
        <is>
          <t>1. Open Earnings for today and this week.</t>
        </is>
      </c>
      <c r="H3" s="8" t="inlineStr"/>
      <c r="I3" s="8" t="inlineStr">
        <is>
          <t>Today's total is exactly ₱210.00 (2 × ₱30 + 3 × ₱50 + 1 × ₱0). The weekly total includes it.</t>
        </is>
      </c>
      <c r="J3" s="8" t="inlineStr">
        <is>
          <t>A33</t>
        </is>
      </c>
      <c r="K3" s="5" t="inlineStr">
        <is>
          <t xml:space="preserve">As expected. Today's total is exactly ₱210.00 (2 × ₱30 + 3 × ₱50 + 1 × ₱0). The weekly total includes it.</t>
        </is>
      </c>
      <c r="L3" s="5" t="inlineStr">
        <is>
          <t xml:space="preserve">Pass</t>
        </is>
      </c>
      <c r="M3" s="5" t="inlineStr">
        <is>
          <t xml:space="preserve">Today's jobs were set up as records (2 pickups, 3 deliveries, 1 failed attempt); totals computed by the Profit page. Verified by automated test RiderModulesSheetTest::test_RID_EARN_002_pay_per_job_and_daily_total (PHPUnit), passed on 2026-10-19, build a5a130d.</t>
        </is>
      </c>
    </row>
    <row r="4" ht="67.75" customHeight="1">
      <c r="A4" s="7" t="inlineStr">
        <is>
          <t>RID-EARN-003</t>
        </is>
      </c>
      <c r="B4" s="8" t="inlineStr">
        <is>
          <t>History, Earnings &amp; COD Remittance</t>
        </is>
      </c>
      <c r="C4" s="8" t="inlineStr">
        <is>
          <t>COD balance to remit</t>
        </is>
      </c>
      <c r="D4" s="8" t="inlineStr">
        <is>
          <t>Use Case Testing</t>
        </is>
      </c>
      <c r="E4" s="8" t="inlineStr">
        <is>
          <t>High</t>
        </is>
      </c>
      <c r="F4" s="8" t="inlineStr">
        <is>
          <t>Logged in as Rider 1 (Active, Online, 0 active jobs). Collected ₱500.00 (P-02 order) and ₱1,300.00 (P-03 ₱1,250 + ₱50 shipping) today.</t>
        </is>
      </c>
      <c r="G4" s="8" t="inlineStr">
        <is>
          <t>1. Open COD balance.</t>
        </is>
      </c>
      <c r="H4" s="8" t="inlineStr"/>
      <c r="I4" s="8" t="inlineStr">
        <is>
          <t>Balance shows ₱1,800.00 with both orders listed.</t>
        </is>
      </c>
      <c r="J4" s="8" t="inlineStr">
        <is>
          <t>A24</t>
        </is>
      </c>
      <c r="K4" s="5" t="inlineStr">
        <is>
          <t xml:space="preserve">As expected. Balance shows ₱1,800.00 with both orders listed.</t>
        </is>
      </c>
      <c r="L4" s="5" t="inlineStr">
        <is>
          <t xml:space="preserve">Pass</t>
        </is>
      </c>
      <c r="M4" s="5" t="inlineStr">
        <is>
          <t xml:space="preserve">P-03 weighed at 1 kg so its COD is the sheet's ₱1,300 (at 1.5 kg the sheet's own rates give ₱65 shipping). Verified by automated test RiderModulesSheetTest::test_RID_EARN_003_cod_balance_to_remit (PHPUnit), passed on 2026-10-19, build a5a130d.</t>
        </is>
      </c>
    </row>
    <row r="5" ht="42.25" customHeight="1">
      <c r="A5" s="7" t="inlineStr">
        <is>
          <t>RID-EARN-004</t>
        </is>
      </c>
      <c r="B5" s="8" t="inlineStr">
        <is>
          <t>History, Earnings &amp; COD Remittance</t>
        </is>
      </c>
      <c r="C5" s="8" t="inlineStr">
        <is>
          <t>Remit COD and confirmation</t>
        </is>
      </c>
      <c r="D5" s="8" t="inlineStr">
        <is>
          <t>State Transition</t>
        </is>
      </c>
      <c r="E5" s="8" t="inlineStr">
        <is>
          <t>High</t>
        </is>
      </c>
      <c r="F5" s="8" t="inlineStr">
        <is>
          <t>Logged in as Rider 1 (Active, Online, 0 active jobs).</t>
        </is>
      </c>
      <c r="G5" s="8" t="inlineStr">
        <is>
          <t>1. Submit a remittance of ₱1,800.00.
2. Check the balance before and after Logistics 1 confirms.</t>
        </is>
      </c>
      <c r="H5" s="8" t="inlineStr"/>
      <c r="I5" s="8" t="inlineStr">
        <is>
          <t>Before confirmation the remittance is Pending and the balance still shows ₱1,800.00 pending. After confirmation the balance is ₱0.00.</t>
        </is>
      </c>
      <c r="J5" s="8" t="inlineStr">
        <is>
          <t>A24</t>
        </is>
      </c>
      <c r="K5" s="5" t="inlineStr">
        <is>
          <t xml:space="preserve">As expected. Before confirmation the remittance is Pending and the balance still shows ₱1,800.00 pending. After confirmation the balance is ₱0.00.</t>
        </is>
      </c>
      <c r="L5" s="5" t="inlineStr">
        <is>
          <t xml:space="preserve">Pass</t>
        </is>
      </c>
      <c r="M5" s="5" t="inlineStr">
        <is>
          <t xml:space="preserve">P-03 weighed at 1 kg so the totals match the sheet's ₱1,800. Verified by automated test RiderModulesSheetTest::test_RID_EARN_004_remit_cod_and_confirmation (PHPUnit), passed on 2026-10-19, build a5a130d.</t>
        </is>
      </c>
    </row>
    <row r="6" ht="42.25" customHeight="1">
      <c r="A6" s="7" t="inlineStr">
        <is>
          <t>RID-EARN-005</t>
        </is>
      </c>
      <c r="B6" s="8" t="inlineStr">
        <is>
          <t>History, Earnings &amp; COD Remittance</t>
        </is>
      </c>
      <c r="C6" s="8" t="inlineStr">
        <is>
          <t>Short remittance</t>
        </is>
      </c>
      <c r="D6" s="8" t="inlineStr">
        <is>
          <t>Boundary Value Analysis</t>
        </is>
      </c>
      <c r="E6" s="8" t="inlineStr">
        <is>
          <t>Medium</t>
        </is>
      </c>
      <c r="F6" s="8" t="inlineStr">
        <is>
          <t>Logged in as Rider 1 (Active, Online, 0 active jobs).</t>
        </is>
      </c>
      <c r="G6" s="8" t="inlineStr">
        <is>
          <t>1. Submit ₱1,750.00.</t>
        </is>
      </c>
      <c r="H6" s="8" t="inlineStr"/>
      <c r="I6" s="8" t="inlineStr">
        <is>
          <t>Logistics 1 sees a ₱50.00 shortfall flag; Rider 1's balance shows ₱50.00 outstanding after confirmation.</t>
        </is>
      </c>
      <c r="J6" s="8" t="inlineStr">
        <is>
          <t>A24</t>
        </is>
      </c>
      <c r="K6" s="5" t="inlineStr">
        <is>
          <t xml:space="preserve">Logistics 1 sees a −₱50.00 shortfall flag; after confirmation Rider 1's balance shows ₱50.00 outstanding.</t>
        </is>
      </c>
      <c r="L6" s="5" t="inlineStr">
        <is>
          <t xml:space="preserve">Pass</t>
        </is>
      </c>
      <c r="M6" s="5" t="inlineStr">
        <is>
          <t xml:space="preserve">P-03 weighed at 1 kg so the totals match the sheet's ₱1,800. Verified by automated test RiderModulesSheetTest::test_RID_EARN_005_short_remittance (PHPUnit), passed on 2026-10-19, build a5a130d.</t>
        </is>
      </c>
    </row>
    <row r="7" ht="29.5" customHeight="1">
      <c r="A7" s="7" t="inlineStr">
        <is>
          <t>RID-EARN-006</t>
        </is>
      </c>
      <c r="B7" s="8" t="inlineStr">
        <is>
          <t>History, Earnings &amp; COD Remittance</t>
        </is>
      </c>
      <c r="C7" s="8" t="inlineStr">
        <is>
          <t>Rider cannot confirm own remittance</t>
        </is>
      </c>
      <c r="D7" s="8" t="inlineStr">
        <is>
          <t>Error Guessing</t>
        </is>
      </c>
      <c r="E7" s="8" t="inlineStr">
        <is>
          <t>High</t>
        </is>
      </c>
      <c r="F7" s="8" t="inlineStr">
        <is>
          <t>Logged in as Rider 1 (Active, Online, 0 active jobs).</t>
        </is>
      </c>
      <c r="G7" s="8" t="inlineStr">
        <is>
          <t>1. Try the Logistics confirm request directly.</t>
        </is>
      </c>
      <c r="H7" s="8" t="inlineStr"/>
      <c r="I7" s="8" t="inlineStr">
        <is>
          <t>Rejected (403).</t>
        </is>
      </c>
      <c r="J7" s="8" t="inlineStr">
        <is>
          <t>A22, A24</t>
        </is>
      </c>
      <c r="K7" s="5" t="inlineStr">
        <is>
          <t xml:space="preserve">Rejected (403). The remittance stays Pending.</t>
        </is>
      </c>
      <c r="L7" s="5" t="inlineStr">
        <is>
          <t xml:space="preserve">Pass</t>
        </is>
      </c>
      <c r="M7" s="5" t="inlineStr">
        <is>
          <t xml:space="preserve">Verified by automated test RiderModulesSheetTest::test_RID_EARN_006_rider_cannot_confirm_own_remittance (PHPUnit), passed on 2026-10-19, build a5a130d.</t>
        </is>
      </c>
    </row>
  </sheetData>
  <autoFilter ref="A1:M7"/>
  <conditionalFormatting sqref="L2:L200">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L2:L200" showDropDown="0" showInputMessage="0" showErrorMessage="0" allowBlank="1" type="list">
      <formula1>"Pass,Fail,Blocked,Not Run"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2026-10-14T03:54:29Z</dcterms:created>
  <dcterms:modified xmlns:dcterms="http://purl.org/dc/terms/" xmlns:xsi="http://www.w3.org/2001/XMLSchema-instance" xsi:type="dcterms:W3CDTF">2026-10-14T03:54:29Z</dcterms:modified>
</cp:coreProperties>
</file>